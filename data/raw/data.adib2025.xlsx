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B5023107-26BB-488B-81C6-27AD5EECA211}" xr6:coauthVersionLast="47" xr6:coauthVersionMax="47" xr10:uidLastSave="{00000000-0000-0000-0000-000000000000}"/>
  <bookViews>
    <workbookView xWindow="-120" yWindow="-120" windowWidth="20730" windowHeight="11160" activeTab="1" xr2:uid="{5AB96AA1-7539-4A7B-BB54-9B512C0EF1B7}"/>
  </bookViews>
  <sheets>
    <sheet name="Cover Sheet"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08" i="1" l="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alcChain>
</file>

<file path=xl/sharedStrings.xml><?xml version="1.0" encoding="utf-8"?>
<sst xmlns="http://schemas.openxmlformats.org/spreadsheetml/2006/main" count="185" uniqueCount="135">
  <si>
    <t>Time Period</t>
  </si>
  <si>
    <t>UK resident population: mid-year estimates (Qtly data interpolated)</t>
  </si>
  <si>
    <t>seasonal air temperature for UK (Met Office National Climate Information Centre)</t>
  </si>
  <si>
    <t>seasonal precipitation amount (Rainfall) for UK ((Met Office National Climate Information Centre))</t>
  </si>
  <si>
    <t>370.5</t>
  </si>
  <si>
    <t>4.29</t>
  </si>
  <si>
    <t>429.1</t>
  </si>
  <si>
    <t>3.51</t>
  </si>
  <si>
    <t>332.9</t>
  </si>
  <si>
    <t>4.49</t>
  </si>
  <si>
    <t>379.3</t>
  </si>
  <si>
    <t>3.96</t>
  </si>
  <si>
    <t>271.4</t>
  </si>
  <si>
    <t>4.32</t>
  </si>
  <si>
    <t>346.4</t>
  </si>
  <si>
    <t>4.68</t>
  </si>
  <si>
    <t>307.2</t>
  </si>
  <si>
    <t>3.81</t>
  </si>
  <si>
    <t>204.9</t>
  </si>
  <si>
    <t>5.54</t>
  </si>
  <si>
    <t>434.8</t>
  </si>
  <si>
    <t>4.84</t>
  </si>
  <si>
    <t>385.1</t>
  </si>
  <si>
    <t>3.18</t>
  </si>
  <si>
    <t>266.6</t>
  </si>
  <si>
    <t>1.62</t>
  </si>
  <si>
    <t>254.6</t>
  </si>
  <si>
    <t>2.41</t>
  </si>
  <si>
    <t>263.1</t>
  </si>
  <si>
    <t>4.55</t>
  </si>
  <si>
    <t>336.2</t>
  </si>
  <si>
    <t>3.31</t>
  </si>
  <si>
    <t>347.7</t>
  </si>
  <si>
    <t>5.19</t>
  </si>
  <si>
    <t>539.9</t>
  </si>
  <si>
    <t>3.89</t>
  </si>
  <si>
    <t>364.9</t>
  </si>
  <si>
    <t>5.47</t>
  </si>
  <si>
    <t>504.9</t>
  </si>
  <si>
    <t>4.97</t>
  </si>
  <si>
    <t>246.5</t>
  </si>
  <si>
    <t>3.52</t>
  </si>
  <si>
    <t>321.8</t>
  </si>
  <si>
    <t>5.05</t>
  </si>
  <si>
    <t>253.3</t>
  </si>
  <si>
    <t>5.28</t>
  </si>
  <si>
    <t>474.7</t>
  </si>
  <si>
    <t>5.18</t>
  </si>
  <si>
    <t>Non-seasonally adjusted emissions ((CO2) (residence basis))</t>
  </si>
  <si>
    <t>Households: Final consumption expenditure ( in £ million)</t>
  </si>
  <si>
    <t>Total national Expenditure on Goods and Services ( in £ million)</t>
  </si>
  <si>
    <t>Gross domestic product per capital</t>
  </si>
  <si>
    <t>Total energy consumption</t>
  </si>
  <si>
    <t>Experimental estimates of total carbon dioxide (CO2 )(residence basis), quarter 1 (Jan to Mar) 1999 to quarter 1 (Jan to Mar) 2024</t>
  </si>
  <si>
    <t>Coverage:</t>
  </si>
  <si>
    <t>United Kingdom</t>
  </si>
  <si>
    <t>Released:</t>
  </si>
  <si>
    <t xml:space="preserve">Unit: </t>
  </si>
  <si>
    <t>Mass of air emissions in thousand tonnes of carbon dioxide equivalent</t>
  </si>
  <si>
    <t>Frequency of release:</t>
  </si>
  <si>
    <t xml:space="preserve">Quarterly </t>
  </si>
  <si>
    <t>Sources:</t>
  </si>
  <si>
    <t>Office for National Statistics, Ricardo Energy and Environment, Department for Energy Security and Net Zero</t>
  </si>
  <si>
    <t>https://www.ons.gov.uk/economy/environmentalaccounts/datasets/experimentalestimatesofquarterlygreenhousegasemissions</t>
  </si>
  <si>
    <t>Contact:</t>
  </si>
  <si>
    <t xml:space="preserve">Environmental Accounts </t>
  </si>
  <si>
    <t>Email:</t>
  </si>
  <si>
    <t>environment.accounts@ons.gov.uk</t>
  </si>
  <si>
    <t>Telephone</t>
  </si>
  <si>
    <t>01633 456660</t>
  </si>
  <si>
    <t>Website</t>
  </si>
  <si>
    <t>Office for National Statistics Homepage</t>
  </si>
  <si>
    <t>Notes</t>
  </si>
  <si>
    <t xml:space="preserve">These estimates of greenhouse gas emissions are official statistics in development and have been modelled using the Chow-Lin regression based temporal disaggregation method. </t>
  </si>
  <si>
    <t>Currently, all the predictor indicators used in our modelling are taken from the  Department for Energy Security and Net Zero (DESNZ) Energy trends publication.</t>
  </si>
  <si>
    <t>To calculate the seasonally adjusted estimates, the predictor indicators used within the modelling were seasonally adjusted using X-13ARIMA-SEATS.</t>
  </si>
  <si>
    <t>These estimates are official statistics in development - their methodology is under development and so these estimates are subject to change.</t>
  </si>
  <si>
    <t>The Air Emission Accounts include only direct emissions, defined as ‘scope 1’ under the GHG protocol guidance.</t>
  </si>
  <si>
    <t>Due to the method used to estimate these series, quarterly estimates of greenhouse gas (GHG) and carbon dioxide (CO2) emissions from consumer expenditure should not be calculated by subtracting the estimates of GHG/CO2 emissions minus consumer expenditure (Table 2 and 4) from the total GHG/CO2 series (Table 1 and 3).</t>
  </si>
  <si>
    <t>CDID</t>
  </si>
  <si>
    <t>EBAQ</t>
  </si>
  <si>
    <t>Source dataset ID</t>
  </si>
  <si>
    <t>PN2</t>
  </si>
  <si>
    <t>Unit</t>
  </si>
  <si>
    <t>,000</t>
  </si>
  <si>
    <t>Release date</t>
  </si>
  <si>
    <t>Office for national statistics</t>
  </si>
  <si>
    <t>Areal values from HadUK-Grid 1km gridded climate data from land surface network</t>
  </si>
  <si>
    <t>source:</t>
  </si>
  <si>
    <t xml:space="preserve">Met Office National Climate Information Centre </t>
  </si>
  <si>
    <t>https://www.metoffice.gov.uk/research/climate/maps-and-data/uk-and-regional-series</t>
  </si>
  <si>
    <t>units:</t>
  </si>
  <si>
    <t>in £ million</t>
  </si>
  <si>
    <t>https://www.ons.gov.uk/economy/grossdomesticproductgdp/datasets/uksecondestimateofgdpdatatables</t>
  </si>
  <si>
    <t>This spreadsheet forms part of the National Statistics publication Energy Trends produced by the Department for Energy Security &amp; Net Zero (DESNZ).
The data presented is on indigenous production, inland energy consumption, supply and use of fuels, fossil fuel dependency and low carbon share of total energy consumption, import dependency of primary supply, and seasonally adjusted and temperature corrected final energy consumption. Quarterly data are published a quarter in arrears, monthly data are published two months in arrears</t>
  </si>
  <si>
    <t xml:space="preserve">Publication dates </t>
  </si>
  <si>
    <t>sources:</t>
  </si>
  <si>
    <t>https://www.gov.uk/government/statistics/total-energy-section-1-energy-trends</t>
  </si>
  <si>
    <t xml:space="preserve">The tables and accompanying cover sheet, contents and notes have been edited to meet legal accessibility regulations 
To provide feedback please contact </t>
  </si>
  <si>
    <t>energy.stats@energysecurity.gov.uk</t>
  </si>
  <si>
    <t>Some cells in the tables refer to notes which can be found in the notes worksheet
Note markers are presented in square brackets, for example [Note 1]</t>
  </si>
  <si>
    <t xml:space="preserve">Links to additional further information in cells below </t>
  </si>
  <si>
    <t>Energy trends publication (opens in a new window)</t>
  </si>
  <si>
    <t>Data sources and methodology for energy balances (opens in a new window)</t>
  </si>
  <si>
    <t>Energy statistics revisions policy (opens in a new window)</t>
  </si>
  <si>
    <t>5th August 2025</t>
  </si>
  <si>
    <t>CO2 excluding consumer expenditure intensity</t>
  </si>
  <si>
    <t>Co2 Emissions intensity, quarter 1 (January to March) 1999 to quarter 1 (January to March) 2025</t>
  </si>
  <si>
    <t>Thousand tonnes CO2 equivalent/£ million of gross value</t>
  </si>
  <si>
    <t xml:space="preserve">Time periods used in this workbook refer to calendar quarters, i.e. quarter 1 represents January to March, quarter 2 April to June, quarter 3 July to September and quarter 4 October to December, and calendar years i.e. January to December </t>
  </si>
  <si>
    <t>ktoe = thousand tonnes of oil equivalent</t>
  </si>
  <si>
    <t>unit:</t>
  </si>
  <si>
    <t>The data tables in this spreadsheet were originally published at 30th September 2025.</t>
  </si>
  <si>
    <t>UK Office for National Statistics (ONS) Quarterly National Accounts, Table A2 AGGREGATES, Series Code: ABMI</t>
  </si>
  <si>
    <r>
      <t xml:space="preserve">This spreadsheet contains monthly and quarterly data including </t>
    </r>
    <r>
      <rPr>
        <b/>
        <sz val="10"/>
        <rFont val="Times New Roman"/>
        <family val="1"/>
      </rPr>
      <t>new monthly data for July 2025 (1.1 &amp; 1.2) and new quarterly data for April to June 2025 (1.3).</t>
    </r>
  </si>
  <si>
    <t>Source:</t>
  </si>
  <si>
    <t>https://www.ons.gov.uk/economy/grossdomesticproductgdp/timeseries/ebaq/ukea</t>
  </si>
  <si>
    <t xml:space="preserve"> CO2 excluding consumer expenditure intensity Unit: Thousand tonnes CO2 equivalent/£ million of gross value added </t>
  </si>
  <si>
    <t>Total energy consumption ktoe = thousand tonnes of oil equivalent</t>
  </si>
  <si>
    <t xml:space="preserve"> Gross domestic product by category of expenditure: chained volume measure (Total)</t>
  </si>
  <si>
    <t>Gross domestic product per head: Chained volume measures</t>
  </si>
  <si>
    <t>UK Office for National Statistics (ONS) Quarterly National Accounts, Table A2 AGGREGATES, Series Code: IHXW</t>
  </si>
  <si>
    <t>Time_Period</t>
  </si>
  <si>
    <t>CO2e</t>
  </si>
  <si>
    <t>CEI</t>
  </si>
  <si>
    <t>Population</t>
  </si>
  <si>
    <t>Air_tempe</t>
  </si>
  <si>
    <t>TEC</t>
  </si>
  <si>
    <t>GDP</t>
  </si>
  <si>
    <t>Rainfall</t>
  </si>
  <si>
    <t>Air temperature</t>
  </si>
  <si>
    <t>Year</t>
  </si>
  <si>
    <t>Season</t>
  </si>
  <si>
    <t>Season_Cosine</t>
  </si>
  <si>
    <t>Season_sine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</si>
</sst>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0.00&quot; &quot;;&quot;-&quot;* #,##0.00&quot; &quot;;&quot; &quot;* &quot;-&quot;#&quot; &quot;;&quot; &quot;@&quot; &quot;"/>
  </numFmts>
  <fonts count="38" x14ac:knownFonts="1">
    <font>
      <sz val="11"/>
      <color theme="1"/>
      <name val="Calibri"/>
      <family val="2"/>
      <scheme val="minor"/>
    </font>
    <font>
      <b/>
      <sz val="10"/>
      <name val="Times New Roman"/>
      <family val="1"/>
    </font>
    <font>
      <sz val="11"/>
      <color theme="1"/>
      <name val="Times New Roman"/>
      <family val="1"/>
    </font>
    <font>
      <sz val="10"/>
      <color rgb="FF000000"/>
      <name val="Arial"/>
      <family val="2"/>
    </font>
    <font>
      <u/>
      <sz val="11"/>
      <color theme="10"/>
      <name val="Calibri"/>
      <family val="2"/>
      <scheme val="minor"/>
    </font>
    <font>
      <sz val="12"/>
      <color theme="1"/>
      <name val="Arial"/>
      <family val="2"/>
    </font>
    <font>
      <sz val="10"/>
      <name val="Arial"/>
      <family val="2"/>
    </font>
    <font>
      <u/>
      <sz val="12"/>
      <color theme="10"/>
      <name val="Arial"/>
      <family val="2"/>
    </font>
    <font>
      <u/>
      <sz val="10"/>
      <color theme="10"/>
      <name val="Arial"/>
      <family val="2"/>
    </font>
    <font>
      <sz val="10"/>
      <name val="Times New Roman"/>
      <family val="1"/>
    </font>
    <font>
      <b/>
      <sz val="22"/>
      <color rgb="FF000000"/>
      <name val="Calibri"/>
      <family val="2"/>
    </font>
    <font>
      <sz val="12"/>
      <color rgb="FF000000"/>
      <name val="Calibri"/>
      <family val="2"/>
    </font>
    <font>
      <b/>
      <sz val="18"/>
      <color rgb="FF000000"/>
      <name val="Calibri"/>
      <family val="2"/>
    </font>
    <font>
      <u/>
      <sz val="12"/>
      <color rgb="FF0000FF"/>
      <name val="Calibri"/>
      <family val="2"/>
    </font>
    <font>
      <b/>
      <sz val="22"/>
      <name val="Calibri"/>
      <family val="2"/>
      <scheme val="minor"/>
    </font>
    <font>
      <sz val="12"/>
      <color theme="1"/>
      <name val="Calibri"/>
      <family val="2"/>
      <scheme val="minor"/>
    </font>
    <font>
      <b/>
      <sz val="18"/>
      <name val="Calibri"/>
      <family val="2"/>
      <scheme val="minor"/>
    </font>
    <font>
      <u/>
      <sz val="12"/>
      <color indexed="12"/>
      <name val="Calibri"/>
      <family val="2"/>
      <scheme val="minor"/>
    </font>
    <font>
      <b/>
      <sz val="14"/>
      <name val="Calibri"/>
      <family val="2"/>
      <scheme val="minor"/>
    </font>
    <font>
      <u/>
      <sz val="10"/>
      <color indexed="12"/>
      <name val="MS Sans Serif"/>
      <family val="2"/>
    </font>
    <font>
      <sz val="11"/>
      <color rgb="FF000000"/>
      <name val="Calibri"/>
      <family val="2"/>
    </font>
    <font>
      <b/>
      <sz val="20"/>
      <color rgb="FF000000"/>
      <name val="Calibri"/>
      <family val="2"/>
    </font>
    <font>
      <b/>
      <sz val="16"/>
      <color rgb="FF000000"/>
      <name val="Calibri"/>
      <family val="2"/>
    </font>
    <font>
      <b/>
      <sz val="14"/>
      <color rgb="FF000000"/>
      <name val="Calibri"/>
      <family val="2"/>
    </font>
    <font>
      <u/>
      <sz val="10"/>
      <color rgb="FF0563C1"/>
      <name val="Arial"/>
      <family val="2"/>
    </font>
    <font>
      <u/>
      <sz val="10"/>
      <color rgb="FF0000FF"/>
      <name val="MS Sans Serif"/>
    </font>
    <font>
      <u/>
      <sz val="12"/>
      <color rgb="FF0000FF"/>
      <name val="Arial"/>
      <family val="2"/>
    </font>
    <font>
      <u/>
      <sz val="11"/>
      <color rgb="FF0563C1"/>
      <name val="Calibri"/>
      <family val="2"/>
    </font>
    <font>
      <sz val="10"/>
      <color rgb="FF000000"/>
      <name val="MS Sans Serif"/>
    </font>
    <font>
      <u/>
      <sz val="10"/>
      <name val="Times New Roman"/>
      <family val="1"/>
    </font>
    <font>
      <sz val="18"/>
      <name val="Times New Roman"/>
      <family val="1"/>
    </font>
    <font>
      <b/>
      <sz val="18"/>
      <name val="Times New Roman"/>
      <family val="1"/>
    </font>
    <font>
      <sz val="11"/>
      <name val="Calibri"/>
      <family val="2"/>
      <scheme val="minor"/>
    </font>
    <font>
      <sz val="11"/>
      <name val="Times New Roman"/>
      <family val="1"/>
    </font>
    <font>
      <sz val="12"/>
      <name val="Times New Roman"/>
      <family val="1"/>
    </font>
    <font>
      <b/>
      <sz val="18"/>
      <color theme="1"/>
      <name val="Arial"/>
      <family val="2"/>
    </font>
    <font>
      <sz val="10"/>
      <color theme="1"/>
      <name val="Times New Roman"/>
      <family val="1"/>
    </font>
    <font>
      <b/>
      <sz val="1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0">
    <xf numFmtId="0" fontId="0" fillId="0" borderId="0"/>
    <xf numFmtId="0" fontId="3" fillId="0" borderId="0" applyNumberFormat="0" applyBorder="0" applyProtection="0"/>
    <xf numFmtId="0" fontId="4" fillId="0" borderId="0" applyNumberFormat="0" applyFill="0" applyBorder="0" applyAlignment="0" applyProtection="0"/>
    <xf numFmtId="0" fontId="5" fillId="0" borderId="0"/>
    <xf numFmtId="0" fontId="7" fillId="0" borderId="0" applyNumberFormat="0" applyFill="0" applyBorder="0" applyAlignment="0" applyProtection="0"/>
    <xf numFmtId="0" fontId="6" fillId="0" borderId="0"/>
    <xf numFmtId="9" fontId="5" fillId="0" borderId="0" applyFont="0" applyFill="0" applyBorder="0" applyAlignment="0" applyProtection="0"/>
    <xf numFmtId="0" fontId="10" fillId="0" borderId="0" applyNumberFormat="0" applyFill="0" applyBorder="0" applyProtection="0">
      <alignment vertical="center"/>
    </xf>
    <xf numFmtId="0" fontId="11" fillId="0" borderId="0" applyNumberFormat="0" applyBorder="0" applyProtection="0">
      <alignment vertical="center" wrapText="1"/>
    </xf>
    <xf numFmtId="0" fontId="12" fillId="0" borderId="0" applyNumberFormat="0" applyFill="0" applyBorder="0" applyProtection="0"/>
    <xf numFmtId="0" fontId="13" fillId="0" borderId="0" applyNumberFormat="0" applyFill="0" applyBorder="0" applyAlignment="0" applyProtection="0"/>
    <xf numFmtId="164" fontId="20" fillId="0" borderId="0" applyFont="0" applyFill="0" applyBorder="0" applyAlignment="0" applyProtection="0"/>
    <xf numFmtId="0" fontId="14" fillId="0" borderId="0" applyNumberFormat="0" applyFill="0" applyProtection="0">
      <alignment vertical="center"/>
    </xf>
    <xf numFmtId="0" fontId="16" fillId="0" borderId="0" applyNumberFormat="0" applyFill="0" applyProtection="0"/>
    <xf numFmtId="0" fontId="18" fillId="0" borderId="0" applyNumberFormat="0" applyFill="0" applyProtection="0"/>
    <xf numFmtId="0" fontId="17" fillId="0" borderId="0" applyNumberFormat="0" applyFill="0" applyBorder="0" applyAlignment="0" applyProtection="0">
      <alignment vertical="top"/>
      <protection locked="0"/>
    </xf>
    <xf numFmtId="0" fontId="15" fillId="0" borderId="0">
      <alignment vertical="center" wrapText="1"/>
    </xf>
    <xf numFmtId="0" fontId="6" fillId="0" borderId="0"/>
    <xf numFmtId="0" fontId="6" fillId="0" borderId="0"/>
    <xf numFmtId="9" fontId="6" fillId="0" borderId="0" applyFont="0" applyFill="0" applyBorder="0" applyAlignment="0" applyProtection="0"/>
    <xf numFmtId="0" fontId="8"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20" fillId="0" borderId="0" applyFont="0" applyFill="0" applyBorder="0" applyAlignment="0" applyProtection="0"/>
    <xf numFmtId="164" fontId="20" fillId="0" borderId="0" applyFont="0" applyFill="0" applyBorder="0" applyAlignment="0" applyProtection="0"/>
    <xf numFmtId="0" fontId="22" fillId="0" borderId="0" applyNumberFormat="0" applyFill="0" applyBorder="0" applyAlignment="0">
      <protection locked="0"/>
    </xf>
    <xf numFmtId="0" fontId="21" fillId="0" borderId="0" applyNumberFormat="0" applyFill="0" applyBorder="0" applyProtection="0">
      <alignment horizontal="left" vertical="center"/>
    </xf>
    <xf numFmtId="0" fontId="20" fillId="0" borderId="0"/>
    <xf numFmtId="0" fontId="21" fillId="0" borderId="0" applyNumberFormat="0" applyFill="0" applyBorder="0" applyProtection="0">
      <alignment horizontal="left" vertical="center"/>
    </xf>
    <xf numFmtId="0" fontId="10" fillId="0" borderId="0" applyNumberFormat="0" applyFill="0" applyBorder="0" applyProtection="0">
      <alignment vertical="center"/>
    </xf>
    <xf numFmtId="0" fontId="10" fillId="0" borderId="0" applyNumberFormat="0" applyFill="0" applyBorder="0" applyProtection="0">
      <alignment vertical="center"/>
    </xf>
    <xf numFmtId="0" fontId="10" fillId="0" borderId="0" applyNumberFormat="0" applyFill="0" applyBorder="0" applyProtection="0">
      <alignment vertical="center"/>
    </xf>
    <xf numFmtId="0" fontId="22" fillId="0" borderId="0" applyNumberFormat="0" applyFill="0" applyBorder="0" applyProtection="0">
      <alignment horizontal="left"/>
    </xf>
    <xf numFmtId="0" fontId="23" fillId="0" borderId="0" applyNumberFormat="0" applyFill="0" applyBorder="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27" fillId="0" borderId="0" applyNumberFormat="0" applyFill="0" applyBorder="0" applyAlignment="0" applyProtection="0"/>
    <xf numFmtId="0" fontId="28" fillId="0" borderId="0" applyNumberFormat="0" applyBorder="0" applyProtection="0"/>
    <xf numFmtId="0" fontId="28" fillId="0" borderId="0" applyNumberFormat="0" applyBorder="0" applyProtection="0"/>
    <xf numFmtId="0" fontId="3" fillId="0" borderId="0" applyNumberFormat="0" applyBorder="0" applyProtection="0"/>
    <xf numFmtId="0" fontId="3" fillId="0" borderId="0" applyNumberFormat="0" applyBorder="0" applyProtection="0"/>
    <xf numFmtId="0" fontId="3" fillId="0" borderId="0" applyNumberFormat="0" applyBorder="0" applyProtection="0"/>
    <xf numFmtId="0" fontId="28" fillId="0" borderId="0" applyNumberFormat="0" applyBorder="0" applyProtection="0"/>
    <xf numFmtId="0" fontId="11" fillId="0" borderId="0" applyNumberFormat="0" applyBorder="0" applyProtection="0">
      <alignment vertical="center"/>
    </xf>
    <xf numFmtId="0" fontId="11" fillId="0" borderId="0" applyNumberFormat="0" applyBorder="0" applyProtection="0">
      <alignment vertical="center"/>
    </xf>
    <xf numFmtId="0" fontId="11" fillId="0" borderId="0" applyNumberFormat="0" applyBorder="0" applyProtection="0">
      <alignment vertical="center" wrapText="1"/>
    </xf>
    <xf numFmtId="0" fontId="11" fillId="0" borderId="0" applyNumberFormat="0" applyBorder="0" applyProtection="0">
      <alignment vertical="center" wrapText="1"/>
    </xf>
    <xf numFmtId="0" fontId="11" fillId="0" borderId="0" applyNumberFormat="0" applyBorder="0" applyProtection="0">
      <alignment vertical="center" wrapText="1"/>
    </xf>
    <xf numFmtId="0" fontId="3" fillId="0" borderId="0" applyNumberFormat="0" applyBorder="0" applyProtection="0"/>
    <xf numFmtId="0" fontId="20" fillId="0" borderId="0" applyNumberFormat="0" applyFont="0" applyBorder="0" applyProtection="0"/>
    <xf numFmtId="0" fontId="20" fillId="0" borderId="0" applyNumberFormat="0" applyFont="0" applyBorder="0" applyProtection="0"/>
    <xf numFmtId="0" fontId="20" fillId="0" borderId="0" applyNumberFormat="0" applyFont="0" applyBorder="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cellStyleXfs>
  <cellXfs count="48">
    <xf numFmtId="0" fontId="0" fillId="0" borderId="0" xfId="0"/>
    <xf numFmtId="0" fontId="0" fillId="2" borderId="0" xfId="0" applyFill="1"/>
    <xf numFmtId="0" fontId="2" fillId="0" borderId="0" xfId="0" applyFont="1"/>
    <xf numFmtId="0" fontId="9" fillId="0" borderId="0" xfId="0" applyFont="1"/>
    <xf numFmtId="0" fontId="9" fillId="0" borderId="0" xfId="49" applyFont="1" applyFill="1" applyAlignment="1">
      <alignment vertical="center"/>
    </xf>
    <xf numFmtId="0" fontId="31" fillId="0" borderId="0" xfId="0" applyFont="1" applyFill="1"/>
    <xf numFmtId="0" fontId="9" fillId="0" borderId="0" xfId="0" applyFont="1" applyFill="1"/>
    <xf numFmtId="0" fontId="29" fillId="0" borderId="0" xfId="2" applyFont="1" applyFill="1"/>
    <xf numFmtId="0" fontId="9" fillId="0" borderId="0" xfId="2" applyFont="1" applyFill="1"/>
    <xf numFmtId="0" fontId="1" fillId="0" borderId="0" xfId="0" applyFont="1" applyFill="1" applyAlignment="1">
      <alignment vertical="center"/>
    </xf>
    <xf numFmtId="0" fontId="9" fillId="0" borderId="0" xfId="5" applyFont="1" applyFill="1" applyAlignment="1">
      <alignment vertical="center"/>
    </xf>
    <xf numFmtId="0" fontId="1" fillId="0" borderId="0" xfId="0" applyFont="1" applyFill="1" applyAlignment="1">
      <alignment horizontal="right"/>
    </xf>
    <xf numFmtId="0" fontId="9" fillId="0" borderId="0" xfId="0" applyFont="1" applyFill="1" applyAlignment="1">
      <alignment horizontal="left"/>
    </xf>
    <xf numFmtId="14" fontId="9" fillId="0" borderId="0" xfId="0" applyNumberFormat="1" applyFont="1" applyFill="1"/>
    <xf numFmtId="0" fontId="2" fillId="0" borderId="0" xfId="0" applyFont="1" applyFill="1"/>
    <xf numFmtId="0" fontId="9" fillId="0" borderId="0" xfId="0" applyFont="1" applyFill="1" applyAlignment="1">
      <alignment vertical="top"/>
    </xf>
    <xf numFmtId="0" fontId="9" fillId="0" borderId="0" xfId="0" applyFont="1" applyFill="1" applyAlignment="1">
      <alignment horizontal="left" vertical="top"/>
    </xf>
    <xf numFmtId="0" fontId="9" fillId="0" borderId="0" xfId="7" applyFont="1" applyFill="1">
      <alignment vertical="center"/>
    </xf>
    <xf numFmtId="0" fontId="9" fillId="0" borderId="0" xfId="8" applyFont="1" applyFill="1" applyAlignment="1">
      <alignment vertical="center"/>
    </xf>
    <xf numFmtId="0" fontId="9" fillId="0" borderId="0" xfId="9" applyFont="1" applyFill="1"/>
    <xf numFmtId="0" fontId="9" fillId="0" borderId="0" xfId="0" applyFont="1" applyFill="1" applyAlignment="1">
      <alignment vertical="center"/>
    </xf>
    <xf numFmtId="0" fontId="29" fillId="0" borderId="0" xfId="10" applyFont="1" applyFill="1" applyAlignment="1">
      <alignment vertical="center"/>
    </xf>
    <xf numFmtId="0" fontId="9" fillId="0" borderId="0" xfId="16" applyFont="1" applyFill="1" applyAlignment="1">
      <alignment vertical="center"/>
    </xf>
    <xf numFmtId="0" fontId="31" fillId="0" borderId="0" xfId="0" applyFont="1" applyFill="1" applyAlignment="1">
      <alignment vertical="top"/>
    </xf>
    <xf numFmtId="0" fontId="30" fillId="0" borderId="0" xfId="0" applyFont="1" applyFill="1"/>
    <xf numFmtId="0" fontId="31" fillId="0" borderId="0" xfId="0" applyFont="1" applyFill="1" applyAlignment="1">
      <alignment horizontal="left" vertical="top"/>
    </xf>
    <xf numFmtId="4" fontId="9" fillId="0" borderId="0" xfId="18" applyNumberFormat="1" applyFont="1" applyFill="1" applyAlignment="1">
      <alignment horizontal="center" vertical="top"/>
    </xf>
    <xf numFmtId="0" fontId="9" fillId="0" borderId="0" xfId="0" applyFont="1" applyFill="1" applyAlignment="1">
      <alignment vertical="top" wrapText="1"/>
    </xf>
    <xf numFmtId="0" fontId="9" fillId="0" borderId="0" xfId="0" applyFont="1" applyFill="1" applyAlignment="1">
      <alignment horizontal="center" vertical="top" wrapText="1"/>
    </xf>
    <xf numFmtId="0" fontId="9" fillId="0" borderId="0" xfId="0" applyFont="1" applyFill="1" applyAlignment="1">
      <alignment horizontal="left" vertical="top" wrapText="1"/>
    </xf>
    <xf numFmtId="0" fontId="1" fillId="0" borderId="0" xfId="0" applyFont="1" applyFill="1" applyAlignment="1">
      <alignment horizontal="left" vertical="top"/>
    </xf>
    <xf numFmtId="0" fontId="32" fillId="0" borderId="0" xfId="0" applyFont="1" applyFill="1"/>
    <xf numFmtId="4" fontId="9" fillId="0" borderId="0" xfId="3" applyNumberFormat="1" applyFont="1" applyFill="1" applyAlignment="1">
      <alignment horizontal="center" vertical="top"/>
    </xf>
    <xf numFmtId="4" fontId="9" fillId="0" borderId="0" xfId="0" applyNumberFormat="1" applyFont="1" applyFill="1" applyAlignment="1">
      <alignment horizontal="center" vertical="top"/>
    </xf>
    <xf numFmtId="0" fontId="9" fillId="0" borderId="1" xfId="1" applyFont="1" applyFill="1" applyBorder="1" applyAlignment="1">
      <alignment horizontal="center" vertical="top" wrapText="1"/>
    </xf>
    <xf numFmtId="0" fontId="33" fillId="0" borderId="0" xfId="0" applyFont="1" applyFill="1"/>
    <xf numFmtId="3" fontId="34" fillId="0" borderId="0" xfId="1" applyNumberFormat="1" applyFont="1" applyFill="1" applyAlignment="1">
      <alignment horizontal="center"/>
    </xf>
    <xf numFmtId="0" fontId="35" fillId="0" borderId="0" xfId="0" applyFont="1" applyFill="1" applyAlignment="1">
      <alignment horizontal="left"/>
    </xf>
    <xf numFmtId="0" fontId="36" fillId="0" borderId="0" xfId="0" applyFont="1" applyFill="1" applyAlignment="1">
      <alignment horizontal="left"/>
    </xf>
    <xf numFmtId="0" fontId="36" fillId="0" borderId="0" xfId="0" applyFont="1" applyAlignment="1">
      <alignment horizontal="left"/>
    </xf>
    <xf numFmtId="0" fontId="4" fillId="0" borderId="0" xfId="2" applyFill="1"/>
    <xf numFmtId="0" fontId="31" fillId="0" borderId="2" xfId="1" applyFont="1" applyFill="1" applyBorder="1" applyAlignment="1">
      <alignment horizontal="left" vertical="top" indent="1"/>
    </xf>
    <xf numFmtId="0" fontId="31" fillId="0" borderId="0" xfId="1" applyFont="1" applyFill="1" applyBorder="1" applyAlignment="1">
      <alignment horizontal="left" vertical="top" indent="1"/>
    </xf>
    <xf numFmtId="0" fontId="31" fillId="0" borderId="1" xfId="1" applyFont="1" applyFill="1" applyBorder="1" applyAlignment="1">
      <alignment horizontal="left" vertical="top" indent="1"/>
    </xf>
    <xf numFmtId="0" fontId="37" fillId="0" borderId="3" xfId="0" applyFont="1" applyBorder="1" applyAlignment="1">
      <alignment horizontal="center" vertical="top"/>
    </xf>
    <xf numFmtId="0" fontId="37" fillId="0" borderId="4" xfId="0" applyFont="1" applyBorder="1" applyAlignment="1">
      <alignment horizontal="center" vertical="top"/>
    </xf>
    <xf numFmtId="1" fontId="0" fillId="0" borderId="0" xfId="0" applyNumberFormat="1"/>
    <xf numFmtId="1" fontId="9" fillId="0" borderId="0" xfId="0" applyNumberFormat="1" applyFont="1" applyAlignment="1">
      <alignment horizontal="center" vertical="top"/>
    </xf>
  </cellXfs>
  <cellStyles count="60">
    <cellStyle name="Comma 2" xfId="23" xr:uid="{AF9F4B24-BF24-4987-A676-7286984B9EEA}"/>
    <cellStyle name="Comma 2 2" xfId="22" xr:uid="{BFC66801-A5FA-43A2-BBF6-D4EF94F3E1CA}"/>
    <cellStyle name="Comma 3" xfId="11" xr:uid="{977A47BD-0B40-47D4-A539-8B085E8EC8E6}"/>
    <cellStyle name="Heading 1 2" xfId="7" xr:uid="{AA6D5BCA-4665-48DE-8840-CE15FE306C24}"/>
    <cellStyle name="Heading 1 3" xfId="12" xr:uid="{9D1F1FE3-900A-433D-A91A-548D3B61F1BA}"/>
    <cellStyle name="Heading 1 3 2" xfId="27" xr:uid="{7DCA32A6-7B72-4AA3-9F36-0A9D6633B917}"/>
    <cellStyle name="Heading 1 4" xfId="28" xr:uid="{B134BFD6-B221-4160-8494-27854441F113}"/>
    <cellStyle name="Heading 1 5" xfId="29" xr:uid="{0A6E34DA-DDFD-401B-BC86-B8EB8B59094C}"/>
    <cellStyle name="Heading 1 6" xfId="30" xr:uid="{88D84CA0-E3E6-453A-836E-5124FC2E4704}"/>
    <cellStyle name="Heading 1 7" xfId="25" xr:uid="{D97235DA-2D4F-47AE-9AAF-22F3A22DFF6B}"/>
    <cellStyle name="Heading 2 2" xfId="13" xr:uid="{012E85D6-523A-4CAD-AE8C-DCD15A6B2D65}"/>
    <cellStyle name="Heading 2 2 2" xfId="9" xr:uid="{C0D13080-A016-4AB4-8893-F34787DAC7B9}"/>
    <cellStyle name="Heading 2 2 3" xfId="31" xr:uid="{AC31F9C6-20C6-41F4-9C4F-F2C351753CEC}"/>
    <cellStyle name="Heading 2 3" xfId="24" xr:uid="{4460B750-1F4C-4C9F-86F6-E3DD44389049}"/>
    <cellStyle name="Heading 3 2" xfId="14" xr:uid="{BE3D992A-405A-4854-A812-799BB40EFADC}"/>
    <cellStyle name="Heading 3 2 2" xfId="32" xr:uid="{6E76BDB3-2BEF-422F-A2FB-2C367C56265F}"/>
    <cellStyle name="Hyperlink" xfId="2" builtinId="8"/>
    <cellStyle name="Hyperlink 2" xfId="4" xr:uid="{CE29D898-C570-41FB-BCC2-E37941E1D95A}"/>
    <cellStyle name="Hyperlink 2 2" xfId="21" xr:uid="{B02DF958-72FD-4185-BAB0-71C876A26EFE}"/>
    <cellStyle name="Hyperlink 2 2 2" xfId="36" xr:uid="{F93704B3-DFF3-456B-8EF1-80A4347CFEA1}"/>
    <cellStyle name="Hyperlink 2 2 3" xfId="35" xr:uid="{79586769-D6DE-4774-9143-616B1A1BF749}"/>
    <cellStyle name="Hyperlink 2 3" xfId="10" xr:uid="{3CC782ED-BB15-4EF6-B983-37585D6E12CC}"/>
    <cellStyle name="Hyperlink 2 4" xfId="20" xr:uid="{E351192C-9F28-40C7-8E14-E231BF5D611F}"/>
    <cellStyle name="Hyperlink 2 4 2" xfId="37" xr:uid="{77DE624A-A587-44C5-84D7-449101714E9E}"/>
    <cellStyle name="Hyperlink 2 5" xfId="34" xr:uid="{0CF01978-DD21-4223-B7D7-9838FDE2DC4E}"/>
    <cellStyle name="Hyperlink 3" xfId="15" xr:uid="{4350AC2C-22FC-43EA-A08C-9E6A7A8A9000}"/>
    <cellStyle name="Hyperlink 3 2" xfId="38" xr:uid="{3C0901AB-CF73-4008-9AC8-1B54AB254542}"/>
    <cellStyle name="Hyperlink 4" xfId="39" xr:uid="{1EEB234C-899F-46F6-B738-7F881D97A3DB}"/>
    <cellStyle name="Hyperlink 5" xfId="40" xr:uid="{F3BBB4B2-14A6-4208-B59E-D2E2CFF2B9D4}"/>
    <cellStyle name="Hyperlink 6" xfId="33" xr:uid="{B1DFDBB2-CD20-4C69-A985-4661F937012A}"/>
    <cellStyle name="Normal" xfId="0" builtinId="0"/>
    <cellStyle name="Normal 2" xfId="3" xr:uid="{0F488C94-5991-4C18-B2F6-E3B0ADDAD02F}"/>
    <cellStyle name="Normal 2 2" xfId="17" xr:uid="{E29FF119-785C-45C4-84DC-D3C85A0ACAE6}"/>
    <cellStyle name="Normal 2 2 2" xfId="1" xr:uid="{E69116E7-5711-4033-8896-030CD9DFE60E}"/>
    <cellStyle name="Normal 2 3" xfId="18" xr:uid="{46085236-B23A-4ABB-BB09-6B8B2BF61067}"/>
    <cellStyle name="Normal 2 3 2" xfId="41" xr:uid="{9C985B60-B94F-4580-AE28-3E2C55844BC4}"/>
    <cellStyle name="Normal 2 4" xfId="42" xr:uid="{5CE11E8F-3293-4C0F-9976-00AA2424451C}"/>
    <cellStyle name="Normal 2 5" xfId="43" xr:uid="{5B5BE23F-821C-44EC-8C13-2A90B4080DFE}"/>
    <cellStyle name="Normal 3" xfId="5" xr:uid="{7A084975-C9BC-4B28-8E81-A2029A768218}"/>
    <cellStyle name="Normal 3 2" xfId="45" xr:uid="{A4ACEA6F-85E2-47D7-818B-B62804A477A4}"/>
    <cellStyle name="Normal 3 3" xfId="44" xr:uid="{8907664B-4E13-4CF9-B040-58BDF90C8C00}"/>
    <cellStyle name="Normal 4" xfId="16" xr:uid="{616F944E-B6B4-4A8B-858F-E7D9E3CC1714}"/>
    <cellStyle name="Normal 4 2" xfId="47" xr:uid="{3F907C91-A3EE-42C7-A67A-DAA768811DDE}"/>
    <cellStyle name="Normal 4 3" xfId="8" xr:uid="{61947708-B6B1-4DCC-8C5A-E063D167F4A7}"/>
    <cellStyle name="Normal 4 4" xfId="48" xr:uid="{0EBB70A2-57E9-47D3-8206-5B94FBF899F6}"/>
    <cellStyle name="Normal 4 5" xfId="49" xr:uid="{1819AA3C-4581-47A1-8E38-A9068004497F}"/>
    <cellStyle name="Normal 4 6" xfId="50" xr:uid="{49BE8F6D-BC1D-48D5-94ED-98C1FEC95C17}"/>
    <cellStyle name="Normal 4 7" xfId="51" xr:uid="{435DFAE8-1680-4448-BA2E-6B34FCAAB898}"/>
    <cellStyle name="Normal 4 8" xfId="46" xr:uid="{10C45B21-7DB6-4008-AF49-CB5FD5951BD4}"/>
    <cellStyle name="Normal 5" xfId="52" xr:uid="{BBA36EEB-3EC8-4E48-92F7-DAD11161EC49}"/>
    <cellStyle name="Normal 6" xfId="53" xr:uid="{9CAF3E7B-1E30-4044-ADEF-24CB199899F4}"/>
    <cellStyle name="Normal 7" xfId="54" xr:uid="{C1572047-2244-44F2-BE9C-F35895A6BF81}"/>
    <cellStyle name="Normal 8" xfId="55" xr:uid="{D9E550AC-526D-445A-A921-C8CC80E69716}"/>
    <cellStyle name="Normal 9" xfId="26" xr:uid="{6E7BAD13-C865-4F55-B0B2-F3B711B4E048}"/>
    <cellStyle name="Percent 2" xfId="6" xr:uid="{57B0C5B1-F0AD-45DD-AAA7-29F9A96D5BB5}"/>
    <cellStyle name="Percent 2 2" xfId="19" xr:uid="{18958AC1-85B4-4925-A4D6-7B38033A18C6}"/>
    <cellStyle name="Percent 2 3" xfId="56" xr:uid="{059BE2E4-9FF7-4868-9015-4B5CBD3499B0}"/>
    <cellStyle name="Percent 3" xfId="57" xr:uid="{2B838B32-112C-475C-9BAD-1856C5745FA9}"/>
    <cellStyle name="Percent 4" xfId="58" xr:uid="{D43BEA60-6F8F-4783-9D1D-D2F8641333BF}"/>
    <cellStyle name="Percent 5" xfId="59" xr:uid="{A458C4F2-CC29-4886-8989-E31189F8E34D}"/>
  </cellStyles>
  <dxfs count="6">
    <dxf>
      <fill>
        <patternFill>
          <bgColor theme="7" tint="0.39994506668294322"/>
        </patternFill>
      </fill>
    </dxf>
    <dxf>
      <fill>
        <patternFill>
          <bgColor theme="7" tint="0.39994506668294322"/>
        </patternFill>
      </fill>
    </dxf>
    <dxf>
      <fill>
        <patternFill>
          <bgColor theme="7" tint="0.39994506668294322"/>
        </patternFill>
      </fill>
    </dxf>
    <dxf>
      <fill>
        <patternFill>
          <bgColor theme="5"/>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CCFFCC"/>
      <color rgb="FFCC66FF"/>
      <color rgb="FFFF9999"/>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publications/desnz-standards-for-official-statistics/statistical-revisions-policy" TargetMode="External"/><Relationship Id="rId13" Type="http://schemas.openxmlformats.org/officeDocument/2006/relationships/hyperlink" Target="https://www.ons.gov.uk/economy/environmentalaccounts/datasets/experimentalestimatesofquarterlygreenhousegasemissions" TargetMode="External"/><Relationship Id="rId3" Type="http://schemas.openxmlformats.org/officeDocument/2006/relationships/hyperlink" Target="https://www.metoffice.gov.uk/research/climate/maps-and-data/uk-and-regional-series" TargetMode="External"/><Relationship Id="rId7" Type="http://schemas.openxmlformats.org/officeDocument/2006/relationships/hyperlink" Target="https://www.gov.uk/government/publications/energy-balance-methodology-note" TargetMode="External"/><Relationship Id="rId12" Type="http://schemas.openxmlformats.org/officeDocument/2006/relationships/hyperlink" Target="https://www.ons.gov.uk/economy/grossdomesticproductgdp/datasets/uksecondestimateofgdpdatatables" TargetMode="External"/><Relationship Id="rId2" Type="http://schemas.openxmlformats.org/officeDocument/2006/relationships/hyperlink" Target="mailto:environment.accounts@ons.gov.uk" TargetMode="External"/><Relationship Id="rId1" Type="http://schemas.openxmlformats.org/officeDocument/2006/relationships/hyperlink" Target="https://www.ons.gov.uk/" TargetMode="External"/><Relationship Id="rId6" Type="http://schemas.openxmlformats.org/officeDocument/2006/relationships/hyperlink" Target="https://www.gov.uk/government/collections/energy-trends" TargetMode="External"/><Relationship Id="rId11" Type="http://schemas.openxmlformats.org/officeDocument/2006/relationships/hyperlink" Target="https://www.metoffice.gov.uk/research/climate/maps-and-data/uk-and-regional-series" TargetMode="External"/><Relationship Id="rId5" Type="http://schemas.openxmlformats.org/officeDocument/2006/relationships/hyperlink" Target="mailto:energy.stats@energysecurity.gov.uk" TargetMode="External"/><Relationship Id="rId15" Type="http://schemas.openxmlformats.org/officeDocument/2006/relationships/printerSettings" Target="../printerSettings/printerSettings1.bin"/><Relationship Id="rId10" Type="http://schemas.openxmlformats.org/officeDocument/2006/relationships/hyperlink" Target="mailto:environment.accounts@ons.gov.uk" TargetMode="External"/><Relationship Id="rId4" Type="http://schemas.openxmlformats.org/officeDocument/2006/relationships/hyperlink" Target="https://www.ons.gov.uk/economy/grossdomesticproductgdp/datasets/uksecondestimateofgdpdatatables" TargetMode="External"/><Relationship Id="rId9" Type="http://schemas.openxmlformats.org/officeDocument/2006/relationships/hyperlink" Target="https://www.ons.gov.uk/" TargetMode="External"/><Relationship Id="rId14" Type="http://schemas.openxmlformats.org/officeDocument/2006/relationships/hyperlink" Target="https://www.ons.gov.uk/economy/grossdomesticproductgdp/timeseries/ebaq/uke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B5B3-1B38-45F8-8329-65C6DBFE9777}">
  <dimension ref="A1:B109"/>
  <sheetViews>
    <sheetView workbookViewId="0">
      <selection activeCell="F1" sqref="F1"/>
    </sheetView>
  </sheetViews>
  <sheetFormatPr defaultRowHeight="15" x14ac:dyDescent="0.25"/>
  <cols>
    <col min="1" max="1" width="9.140625" style="2"/>
    <col min="2" max="2" width="16" style="2" customWidth="1"/>
    <col min="3" max="16384" width="9.140625" style="2"/>
  </cols>
  <sheetData>
    <row r="1" spans="1:2" s="6" customFormat="1" ht="22.5" x14ac:dyDescent="0.3">
      <c r="A1" s="5" t="s">
        <v>53</v>
      </c>
    </row>
    <row r="2" spans="1:2" s="6" customFormat="1" ht="12.75" x14ac:dyDescent="0.2">
      <c r="A2" s="6" t="s">
        <v>54</v>
      </c>
      <c r="B2" s="6" t="s">
        <v>55</v>
      </c>
    </row>
    <row r="3" spans="1:2" s="6" customFormat="1" ht="12.75" x14ac:dyDescent="0.2">
      <c r="A3" s="6" t="s">
        <v>56</v>
      </c>
      <c r="B3" s="6" t="s">
        <v>105</v>
      </c>
    </row>
    <row r="4" spans="1:2" s="6" customFormat="1" ht="12.75" x14ac:dyDescent="0.2">
      <c r="A4" s="6" t="s">
        <v>57</v>
      </c>
      <c r="B4" s="6" t="s">
        <v>58</v>
      </c>
    </row>
    <row r="5" spans="1:2" s="6" customFormat="1" ht="12.75" x14ac:dyDescent="0.2">
      <c r="A5" s="6" t="s">
        <v>59</v>
      </c>
      <c r="B5" s="6" t="s">
        <v>60</v>
      </c>
    </row>
    <row r="6" spans="1:2" s="6" customFormat="1" ht="12.75" x14ac:dyDescent="0.2">
      <c r="A6" s="6" t="s">
        <v>61</v>
      </c>
      <c r="B6" s="6" t="s">
        <v>62</v>
      </c>
    </row>
    <row r="7" spans="1:2" s="6" customFormat="1" ht="12.75" x14ac:dyDescent="0.2">
      <c r="A7" s="6" t="s">
        <v>61</v>
      </c>
      <c r="B7" s="6" t="s">
        <v>63</v>
      </c>
    </row>
    <row r="8" spans="1:2" s="6" customFormat="1" ht="12.75" x14ac:dyDescent="0.2">
      <c r="A8" s="6" t="s">
        <v>64</v>
      </c>
      <c r="B8" s="6" t="s">
        <v>65</v>
      </c>
    </row>
    <row r="9" spans="1:2" s="6" customFormat="1" ht="12.75" x14ac:dyDescent="0.2">
      <c r="A9" s="6" t="s">
        <v>66</v>
      </c>
      <c r="B9" s="7" t="s">
        <v>67</v>
      </c>
    </row>
    <row r="10" spans="1:2" s="6" customFormat="1" ht="12.75" x14ac:dyDescent="0.2">
      <c r="A10" s="6" t="s">
        <v>68</v>
      </c>
      <c r="B10" s="6" t="s">
        <v>69</v>
      </c>
    </row>
    <row r="11" spans="1:2" s="6" customFormat="1" ht="12.75" x14ac:dyDescent="0.2">
      <c r="A11" s="6" t="s">
        <v>70</v>
      </c>
      <c r="B11" s="8" t="s">
        <v>71</v>
      </c>
    </row>
    <row r="12" spans="1:2" s="6" customFormat="1" ht="12.75" x14ac:dyDescent="0.2">
      <c r="A12" s="9" t="s">
        <v>72</v>
      </c>
    </row>
    <row r="13" spans="1:2" s="6" customFormat="1" ht="12.75" x14ac:dyDescent="0.2">
      <c r="A13" s="10" t="s">
        <v>73</v>
      </c>
    </row>
    <row r="14" spans="1:2" s="6" customFormat="1" ht="12.75" x14ac:dyDescent="0.2">
      <c r="A14" s="10" t="s">
        <v>74</v>
      </c>
    </row>
    <row r="15" spans="1:2" s="6" customFormat="1" ht="12.75" x14ac:dyDescent="0.2">
      <c r="A15" s="10" t="s">
        <v>75</v>
      </c>
    </row>
    <row r="16" spans="1:2" s="6" customFormat="1" ht="12.75" x14ac:dyDescent="0.2">
      <c r="A16" s="10" t="s">
        <v>76</v>
      </c>
    </row>
    <row r="17" spans="1:2" s="6" customFormat="1" ht="12.75" x14ac:dyDescent="0.2">
      <c r="A17" s="10" t="s">
        <v>77</v>
      </c>
    </row>
    <row r="18" spans="1:2" s="6" customFormat="1" ht="12.75" x14ac:dyDescent="0.2">
      <c r="A18" s="6" t="s">
        <v>78</v>
      </c>
    </row>
    <row r="19" spans="1:2" s="6" customFormat="1" ht="17.25" customHeight="1" x14ac:dyDescent="0.2"/>
    <row r="20" spans="1:2" s="6" customFormat="1" ht="17.25" customHeight="1" x14ac:dyDescent="0.3">
      <c r="A20" s="5" t="s">
        <v>107</v>
      </c>
    </row>
    <row r="21" spans="1:2" s="6" customFormat="1" ht="17.25" customHeight="1" x14ac:dyDescent="0.2">
      <c r="A21" s="11" t="s">
        <v>106</v>
      </c>
    </row>
    <row r="22" spans="1:2" s="6" customFormat="1" ht="12.75" x14ac:dyDescent="0.2">
      <c r="A22" s="6" t="s">
        <v>54</v>
      </c>
      <c r="B22" s="6" t="s">
        <v>55</v>
      </c>
    </row>
    <row r="23" spans="1:2" s="6" customFormat="1" ht="12.75" x14ac:dyDescent="0.2">
      <c r="A23" s="6" t="s">
        <v>56</v>
      </c>
      <c r="B23" s="6" t="s">
        <v>105</v>
      </c>
    </row>
    <row r="24" spans="1:2" s="6" customFormat="1" ht="12.75" x14ac:dyDescent="0.2">
      <c r="A24" s="6" t="s">
        <v>57</v>
      </c>
      <c r="B24" s="6" t="s">
        <v>108</v>
      </c>
    </row>
    <row r="25" spans="1:2" s="6" customFormat="1" ht="12.75" x14ac:dyDescent="0.2">
      <c r="A25" s="6" t="s">
        <v>59</v>
      </c>
      <c r="B25" s="6" t="s">
        <v>60</v>
      </c>
    </row>
    <row r="26" spans="1:2" s="6" customFormat="1" ht="12.75" x14ac:dyDescent="0.2">
      <c r="A26" s="6" t="s">
        <v>61</v>
      </c>
      <c r="B26" s="6" t="s">
        <v>62</v>
      </c>
    </row>
    <row r="27" spans="1:2" s="6" customFormat="1" x14ac:dyDescent="0.25">
      <c r="A27" s="6" t="s">
        <v>61</v>
      </c>
      <c r="B27" s="40" t="s">
        <v>63</v>
      </c>
    </row>
    <row r="28" spans="1:2" s="6" customFormat="1" ht="12.75" x14ac:dyDescent="0.2">
      <c r="A28" s="6" t="s">
        <v>64</v>
      </c>
      <c r="B28" s="6" t="s">
        <v>65</v>
      </c>
    </row>
    <row r="29" spans="1:2" s="6" customFormat="1" x14ac:dyDescent="0.25">
      <c r="A29" s="6" t="s">
        <v>66</v>
      </c>
      <c r="B29" s="40" t="s">
        <v>67</v>
      </c>
    </row>
    <row r="30" spans="1:2" s="6" customFormat="1" ht="12.75" x14ac:dyDescent="0.2">
      <c r="A30" s="6" t="s">
        <v>68</v>
      </c>
      <c r="B30" s="6" t="s">
        <v>69</v>
      </c>
    </row>
    <row r="31" spans="1:2" s="6" customFormat="1" ht="12.75" x14ac:dyDescent="0.2">
      <c r="A31" s="6" t="s">
        <v>70</v>
      </c>
      <c r="B31" s="8" t="s">
        <v>71</v>
      </c>
    </row>
    <row r="32" spans="1:2" s="6" customFormat="1" ht="12.75" x14ac:dyDescent="0.2">
      <c r="A32" s="9" t="s">
        <v>72</v>
      </c>
    </row>
    <row r="33" spans="1:2" s="6" customFormat="1" ht="12.75" x14ac:dyDescent="0.2">
      <c r="A33" s="10" t="s">
        <v>73</v>
      </c>
    </row>
    <row r="34" spans="1:2" s="6" customFormat="1" ht="12.75" x14ac:dyDescent="0.2">
      <c r="A34" s="10" t="s">
        <v>74</v>
      </c>
    </row>
    <row r="35" spans="1:2" s="6" customFormat="1" ht="12.75" x14ac:dyDescent="0.2">
      <c r="A35" s="10" t="s">
        <v>75</v>
      </c>
    </row>
    <row r="36" spans="1:2" s="6" customFormat="1" ht="12.75" x14ac:dyDescent="0.2">
      <c r="A36" s="10" t="s">
        <v>76</v>
      </c>
    </row>
    <row r="37" spans="1:2" s="6" customFormat="1" ht="12.75" x14ac:dyDescent="0.2">
      <c r="A37" s="10" t="s">
        <v>77</v>
      </c>
    </row>
    <row r="38" spans="1:2" s="6" customFormat="1" ht="12.75" x14ac:dyDescent="0.2">
      <c r="A38" s="6" t="s">
        <v>78</v>
      </c>
    </row>
    <row r="39" spans="1:2" s="6" customFormat="1" ht="17.25" customHeight="1" x14ac:dyDescent="0.2"/>
    <row r="40" spans="1:2" s="6" customFormat="1" ht="22.5" x14ac:dyDescent="0.3">
      <c r="A40" s="5" t="s">
        <v>1</v>
      </c>
    </row>
    <row r="41" spans="1:2" s="6" customFormat="1" ht="12.75" x14ac:dyDescent="0.2">
      <c r="A41" s="6" t="s">
        <v>79</v>
      </c>
      <c r="B41" s="6" t="s">
        <v>80</v>
      </c>
    </row>
    <row r="42" spans="1:2" s="6" customFormat="1" ht="12.75" x14ac:dyDescent="0.2">
      <c r="A42" s="6" t="s">
        <v>81</v>
      </c>
      <c r="B42" s="6" t="s">
        <v>82</v>
      </c>
    </row>
    <row r="43" spans="1:2" s="6" customFormat="1" ht="12.75" x14ac:dyDescent="0.2">
      <c r="A43" s="6" t="s">
        <v>83</v>
      </c>
      <c r="B43" s="6" t="s">
        <v>84</v>
      </c>
    </row>
    <row r="44" spans="1:2" s="6" customFormat="1" ht="12.75" x14ac:dyDescent="0.2">
      <c r="A44" s="6" t="s">
        <v>85</v>
      </c>
      <c r="B44" s="13">
        <v>45930</v>
      </c>
    </row>
    <row r="45" spans="1:2" s="6" customFormat="1" ht="12.75" x14ac:dyDescent="0.2">
      <c r="A45" s="6" t="s">
        <v>61</v>
      </c>
      <c r="B45" s="6" t="s">
        <v>86</v>
      </c>
    </row>
    <row r="46" spans="1:2" s="6" customFormat="1" x14ac:dyDescent="0.25">
      <c r="A46" s="6" t="s">
        <v>115</v>
      </c>
      <c r="B46" s="40" t="s">
        <v>116</v>
      </c>
    </row>
    <row r="47" spans="1:2" s="14" customFormat="1" x14ac:dyDescent="0.25"/>
    <row r="48" spans="1:2" s="6" customFormat="1" ht="12.75" x14ac:dyDescent="0.2"/>
    <row r="49" spans="1:2" s="6" customFormat="1" ht="23.25" x14ac:dyDescent="0.35">
      <c r="A49" s="37" t="s">
        <v>120</v>
      </c>
    </row>
    <row r="50" spans="1:2" s="6" customFormat="1" ht="12.75" x14ac:dyDescent="0.2">
      <c r="A50" s="6" t="s">
        <v>88</v>
      </c>
      <c r="B50" s="6" t="s">
        <v>121</v>
      </c>
    </row>
    <row r="51" spans="1:2" s="6" customFormat="1" ht="12.75" x14ac:dyDescent="0.2">
      <c r="A51" s="6" t="s">
        <v>88</v>
      </c>
      <c r="B51" s="7" t="s">
        <v>93</v>
      </c>
    </row>
    <row r="52" spans="1:2" s="6" customFormat="1" ht="12.75" x14ac:dyDescent="0.2">
      <c r="A52" s="6" t="s">
        <v>85</v>
      </c>
      <c r="B52" s="12" t="s">
        <v>112</v>
      </c>
    </row>
    <row r="53" spans="1:2" s="6" customFormat="1" ht="12" customHeight="1" x14ac:dyDescent="0.2"/>
    <row r="54" spans="1:2" s="6" customFormat="1" ht="12.75" x14ac:dyDescent="0.2"/>
    <row r="55" spans="1:2" s="6" customFormat="1" ht="22.5" x14ac:dyDescent="0.3">
      <c r="A55" s="5" t="s">
        <v>119</v>
      </c>
    </row>
    <row r="56" spans="1:2" s="6" customFormat="1" ht="12.75" x14ac:dyDescent="0.2">
      <c r="A56" s="15" t="s">
        <v>49</v>
      </c>
    </row>
    <row r="57" spans="1:2" s="6" customFormat="1" ht="12.75" x14ac:dyDescent="0.2">
      <c r="A57" s="16" t="s">
        <v>50</v>
      </c>
    </row>
    <row r="58" spans="1:2" s="6" customFormat="1" ht="12.75" x14ac:dyDescent="0.2">
      <c r="A58" s="6" t="s">
        <v>91</v>
      </c>
      <c r="B58" s="6" t="s">
        <v>92</v>
      </c>
    </row>
    <row r="59" spans="1:2" s="6" customFormat="1" ht="12.75" x14ac:dyDescent="0.2">
      <c r="A59" s="6" t="s">
        <v>88</v>
      </c>
      <c r="B59" s="6" t="s">
        <v>113</v>
      </c>
    </row>
    <row r="60" spans="1:2" s="6" customFormat="1" ht="12.75" x14ac:dyDescent="0.2">
      <c r="A60" s="6" t="s">
        <v>88</v>
      </c>
      <c r="B60" s="7" t="s">
        <v>93</v>
      </c>
    </row>
    <row r="61" spans="1:2" s="6" customFormat="1" ht="12.75" x14ac:dyDescent="0.2">
      <c r="A61" s="6" t="s">
        <v>85</v>
      </c>
      <c r="B61" s="12" t="s">
        <v>112</v>
      </c>
    </row>
    <row r="62" spans="1:2" s="6" customFormat="1" ht="12.75" x14ac:dyDescent="0.2"/>
    <row r="63" spans="1:2" s="6" customFormat="1" ht="12.75" x14ac:dyDescent="0.2"/>
    <row r="64" spans="1:2" s="43" customFormat="1" ht="22.5" x14ac:dyDescent="0.25">
      <c r="A64" s="41" t="s">
        <v>52</v>
      </c>
      <c r="B64" s="42"/>
    </row>
    <row r="65" spans="1:2" s="6" customFormat="1" ht="12.75" x14ac:dyDescent="0.2">
      <c r="A65" s="17" t="s">
        <v>111</v>
      </c>
      <c r="B65" s="6" t="s">
        <v>110</v>
      </c>
    </row>
    <row r="66" spans="1:2" s="6" customFormat="1" ht="12.75" x14ac:dyDescent="0.2">
      <c r="A66" s="18" t="s">
        <v>94</v>
      </c>
    </row>
    <row r="67" spans="1:2" s="6" customFormat="1" ht="12.75" x14ac:dyDescent="0.2">
      <c r="A67" s="19" t="s">
        <v>95</v>
      </c>
    </row>
    <row r="68" spans="1:2" s="6" customFormat="1" ht="12.75" x14ac:dyDescent="0.2">
      <c r="A68" s="4" t="s">
        <v>114</v>
      </c>
    </row>
    <row r="69" spans="1:2" s="6" customFormat="1" ht="12.75" x14ac:dyDescent="0.2">
      <c r="A69" s="6" t="s">
        <v>96</v>
      </c>
      <c r="B69" s="20" t="s">
        <v>97</v>
      </c>
    </row>
    <row r="70" spans="1:2" s="6" customFormat="1" ht="12.75" x14ac:dyDescent="0.2">
      <c r="A70" s="18" t="s">
        <v>98</v>
      </c>
    </row>
    <row r="71" spans="1:2" s="6" customFormat="1" ht="12.75" x14ac:dyDescent="0.2">
      <c r="A71" s="21" t="s">
        <v>99</v>
      </c>
    </row>
    <row r="72" spans="1:2" s="6" customFormat="1" ht="12.75" x14ac:dyDescent="0.2">
      <c r="A72" s="18" t="s">
        <v>100</v>
      </c>
    </row>
    <row r="73" spans="1:2" s="6" customFormat="1" ht="12.75" x14ac:dyDescent="0.2">
      <c r="A73" s="22" t="s">
        <v>109</v>
      </c>
    </row>
    <row r="74" spans="1:2" s="6" customFormat="1" ht="12.75" x14ac:dyDescent="0.2">
      <c r="A74" s="18" t="s">
        <v>101</v>
      </c>
    </row>
    <row r="75" spans="1:2" s="6" customFormat="1" ht="12.75" x14ac:dyDescent="0.2">
      <c r="A75" s="21" t="s">
        <v>102</v>
      </c>
    </row>
    <row r="76" spans="1:2" s="6" customFormat="1" ht="12.75" x14ac:dyDescent="0.2">
      <c r="A76" s="21" t="s">
        <v>103</v>
      </c>
    </row>
    <row r="77" spans="1:2" s="6" customFormat="1" ht="12.75" x14ac:dyDescent="0.2">
      <c r="A77" s="21" t="s">
        <v>104</v>
      </c>
    </row>
    <row r="78" spans="1:2" s="6" customFormat="1" ht="12.75" x14ac:dyDescent="0.2"/>
    <row r="79" spans="1:2" s="24" customFormat="1" ht="23.25" x14ac:dyDescent="0.35">
      <c r="A79" s="23" t="s">
        <v>3</v>
      </c>
    </row>
    <row r="80" spans="1:2" s="6" customFormat="1" ht="12.75" x14ac:dyDescent="0.2">
      <c r="A80" s="6" t="s">
        <v>87</v>
      </c>
    </row>
    <row r="81" spans="1:2" s="6" customFormat="1" ht="12.75" x14ac:dyDescent="0.2">
      <c r="A81" s="6" t="s">
        <v>88</v>
      </c>
      <c r="B81" s="6" t="s">
        <v>89</v>
      </c>
    </row>
    <row r="82" spans="1:2" s="6" customFormat="1" ht="12.75" x14ac:dyDescent="0.2">
      <c r="A82" s="6" t="s">
        <v>88</v>
      </c>
      <c r="B82" s="7" t="s">
        <v>90</v>
      </c>
    </row>
    <row r="83" spans="1:2" s="6" customFormat="1" ht="12.75" x14ac:dyDescent="0.2">
      <c r="A83" s="6" t="s">
        <v>59</v>
      </c>
      <c r="B83" s="6" t="s">
        <v>60</v>
      </c>
    </row>
    <row r="84" spans="1:2" s="6" customFormat="1" ht="12.75" x14ac:dyDescent="0.2"/>
    <row r="85" spans="1:2" s="6" customFormat="1" ht="22.5" x14ac:dyDescent="0.2">
      <c r="A85" s="25" t="s">
        <v>2</v>
      </c>
    </row>
    <row r="86" spans="1:2" s="6" customFormat="1" ht="12.75" x14ac:dyDescent="0.2">
      <c r="A86" s="6" t="s">
        <v>87</v>
      </c>
    </row>
    <row r="87" spans="1:2" s="6" customFormat="1" ht="12.75" x14ac:dyDescent="0.2">
      <c r="A87" s="6" t="s">
        <v>88</v>
      </c>
      <c r="B87" s="6" t="s">
        <v>89</v>
      </c>
    </row>
    <row r="88" spans="1:2" s="6" customFormat="1" ht="12.75" x14ac:dyDescent="0.2">
      <c r="A88" s="6" t="s">
        <v>88</v>
      </c>
      <c r="B88" s="7" t="s">
        <v>90</v>
      </c>
    </row>
    <row r="89" spans="1:2" s="6" customFormat="1" ht="12.75" x14ac:dyDescent="0.2">
      <c r="A89" s="6" t="s">
        <v>59</v>
      </c>
      <c r="B89" s="6" t="s">
        <v>60</v>
      </c>
    </row>
    <row r="90" spans="1:2" s="6" customFormat="1" ht="12.75" x14ac:dyDescent="0.2"/>
    <row r="91" spans="1:2" s="3" customFormat="1" ht="12.75" x14ac:dyDescent="0.2"/>
    <row r="92" spans="1:2" s="3" customFormat="1" ht="12.75" x14ac:dyDescent="0.2"/>
    <row r="93" spans="1:2" s="3" customFormat="1" ht="12.75" x14ac:dyDescent="0.2"/>
    <row r="94" spans="1:2" s="3" customFormat="1" ht="12.75" x14ac:dyDescent="0.2"/>
    <row r="95" spans="1:2" s="3" customFormat="1" ht="12.75" x14ac:dyDescent="0.2"/>
    <row r="96" spans="1:2" s="3" customFormat="1" ht="12.75" x14ac:dyDescent="0.2"/>
    <row r="97" s="3" customFormat="1" ht="12.75" x14ac:dyDescent="0.2"/>
    <row r="98" s="3" customFormat="1" ht="12.75" x14ac:dyDescent="0.2"/>
    <row r="99" s="3" customFormat="1" ht="12.75" x14ac:dyDescent="0.2"/>
    <row r="100" s="3" customFormat="1" ht="12.75" x14ac:dyDescent="0.2"/>
    <row r="101" s="3" customFormat="1" ht="12.75" x14ac:dyDescent="0.2"/>
    <row r="102" s="3" customFormat="1" ht="12.75" x14ac:dyDescent="0.2"/>
    <row r="103" s="3" customFormat="1" ht="12.75" x14ac:dyDescent="0.2"/>
    <row r="104" s="3" customFormat="1" ht="12.75" x14ac:dyDescent="0.2"/>
    <row r="105" s="3" customFormat="1" ht="12.75" x14ac:dyDescent="0.2"/>
    <row r="106" s="3" customFormat="1" ht="12.75" x14ac:dyDescent="0.2"/>
    <row r="107" s="3" customFormat="1" ht="12.75" x14ac:dyDescent="0.2"/>
    <row r="108" s="3" customFormat="1" ht="12.75" x14ac:dyDescent="0.2"/>
    <row r="109" s="3" customFormat="1" ht="12.75" x14ac:dyDescent="0.2"/>
  </sheetData>
  <mergeCells count="1">
    <mergeCell ref="A64:XFD64"/>
  </mergeCells>
  <conditionalFormatting sqref="A85">
    <cfRule type="containsBlanks" dxfId="5" priority="2">
      <formula>LEN(TRIM(A85))=0</formula>
    </cfRule>
  </conditionalFormatting>
  <conditionalFormatting sqref="A79">
    <cfRule type="containsBlanks" dxfId="4" priority="1">
      <formula>LEN(TRIM(A79))=0</formula>
    </cfRule>
  </conditionalFormatting>
  <hyperlinks>
    <hyperlink ref="B11" r:id="rId1" xr:uid="{53DA0B95-99C4-499C-8B8A-9D4AE81ADAA9}"/>
    <hyperlink ref="B9" r:id="rId2" xr:uid="{B218E9B7-84F3-40F0-99CC-1604143CD423}"/>
    <hyperlink ref="B88" r:id="rId3" xr:uid="{B98B1347-E23C-49E9-99F1-60A2D2E03F6D}"/>
    <hyperlink ref="B60" r:id="rId4" xr:uid="{D3C845BB-6C38-4429-87B5-86061B54D4C1}"/>
    <hyperlink ref="A71" r:id="rId5" xr:uid="{A4280AD7-ABA0-42C2-A3B0-E53194231166}"/>
    <hyperlink ref="A75" r:id="rId6" xr:uid="{F0567F7F-B0DF-4764-8042-DD09FA7EF2C1}"/>
    <hyperlink ref="A76" r:id="rId7" xr:uid="{9EBC2CC1-CD59-4DA5-96EC-7C7CDF40170D}"/>
    <hyperlink ref="A77" r:id="rId8" xr:uid="{C7F7F1A9-F2AA-4B2A-B615-10ACBE90261B}"/>
    <hyperlink ref="B31" r:id="rId9" xr:uid="{1B6C7E3A-6381-45D7-AE78-35E212C17DDF}"/>
    <hyperlink ref="B29" r:id="rId10" xr:uid="{D3273565-7E1D-4B63-A1FD-D260BCA72AD2}"/>
    <hyperlink ref="B82" r:id="rId11" xr:uid="{9DA91EED-4043-4AB6-A5CE-6923A93B8E96}"/>
    <hyperlink ref="B51" r:id="rId12" xr:uid="{A1E83D16-1F98-45D4-A6B2-CE515132CFB4}"/>
    <hyperlink ref="B27" r:id="rId13" xr:uid="{7A252A98-2312-47D9-973C-C96253031EAC}"/>
    <hyperlink ref="B46" r:id="rId14" xr:uid="{A23B8A88-ACD5-4705-A976-7144D5B1A9A1}"/>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6088-96AE-463F-8C59-827985D323DD}">
  <dimension ref="A1:L115"/>
  <sheetViews>
    <sheetView tabSelected="1" topLeftCell="A2" workbookViewId="0">
      <selection activeCell="E6" sqref="E6"/>
    </sheetView>
  </sheetViews>
  <sheetFormatPr defaultRowHeight="15" x14ac:dyDescent="0.25"/>
  <cols>
    <col min="1" max="1" width="11.5703125" customWidth="1"/>
    <col min="2" max="3" width="18.42578125" customWidth="1"/>
    <col min="5" max="6" width="18.140625" customWidth="1"/>
    <col min="7" max="7" width="18.28515625" customWidth="1"/>
  </cols>
  <sheetData>
    <row r="1" spans="1:12" ht="15" hidden="1" customHeight="1" x14ac:dyDescent="0.25">
      <c r="B1" s="1"/>
      <c r="C1" s="1"/>
    </row>
    <row r="2" spans="1:12" ht="53.25" customHeight="1" x14ac:dyDescent="0.25">
      <c r="A2" s="27" t="s">
        <v>0</v>
      </c>
      <c r="B2" s="28" t="s">
        <v>48</v>
      </c>
      <c r="C2" s="27" t="s">
        <v>117</v>
      </c>
      <c r="D2" s="28" t="s">
        <v>51</v>
      </c>
      <c r="E2" s="29" t="s">
        <v>125</v>
      </c>
      <c r="F2" s="29" t="s">
        <v>130</v>
      </c>
      <c r="G2" s="29" t="s">
        <v>129</v>
      </c>
      <c r="H2" s="34" t="s">
        <v>118</v>
      </c>
    </row>
    <row r="3" spans="1:12" s="35" customFormat="1" ht="21.75" customHeight="1" x14ac:dyDescent="0.25">
      <c r="A3" s="27" t="s">
        <v>122</v>
      </c>
      <c r="B3" s="28" t="s">
        <v>123</v>
      </c>
      <c r="C3" s="27" t="s">
        <v>124</v>
      </c>
      <c r="D3" s="28" t="s">
        <v>128</v>
      </c>
      <c r="E3" s="29" t="s">
        <v>125</v>
      </c>
      <c r="F3" s="29" t="s">
        <v>126</v>
      </c>
      <c r="G3" s="29" t="s">
        <v>129</v>
      </c>
      <c r="H3" s="34" t="s">
        <v>127</v>
      </c>
      <c r="I3" s="44" t="s">
        <v>131</v>
      </c>
      <c r="J3" s="44" t="s">
        <v>132</v>
      </c>
      <c r="K3" s="44" t="s">
        <v>133</v>
      </c>
      <c r="L3" s="45" t="s">
        <v>134</v>
      </c>
    </row>
    <row r="4" spans="1:12" s="35" customFormat="1" x14ac:dyDescent="0.25">
      <c r="A4" s="30">
        <v>1999.1</v>
      </c>
      <c r="B4" s="32">
        <v>169936</v>
      </c>
      <c r="C4" s="32">
        <v>0.30299999999999999</v>
      </c>
      <c r="D4" s="38">
        <v>7795</v>
      </c>
      <c r="E4" s="33">
        <v>58632</v>
      </c>
      <c r="F4" s="33">
        <v>4.54</v>
      </c>
      <c r="G4" s="33" t="s">
        <v>4</v>
      </c>
      <c r="H4" s="33">
        <v>67315.240000000005</v>
      </c>
      <c r="I4">
        <v>1999</v>
      </c>
      <c r="J4">
        <v>1</v>
      </c>
      <c r="K4">
        <f>ROUND(COS(2*PI()*(J4-1)/4),12)</f>
        <v>1</v>
      </c>
      <c r="L4">
        <f>ROUND(SIN(2*PI()*(J4-1)/4),12)</f>
        <v>0</v>
      </c>
    </row>
    <row r="5" spans="1:12" s="35" customFormat="1" x14ac:dyDescent="0.25">
      <c r="A5" s="30">
        <v>1999.2</v>
      </c>
      <c r="B5" s="32">
        <v>147141.79999999999</v>
      </c>
      <c r="C5" s="32">
        <v>0.311</v>
      </c>
      <c r="D5" s="39">
        <v>7817</v>
      </c>
      <c r="E5" s="33">
        <v>58684</v>
      </c>
      <c r="F5" s="33">
        <v>8.65</v>
      </c>
      <c r="G5" s="33">
        <v>253.2</v>
      </c>
      <c r="H5" s="33">
        <v>52611.149999999987</v>
      </c>
      <c r="I5">
        <v>1999</v>
      </c>
      <c r="J5">
        <v>2</v>
      </c>
      <c r="K5">
        <f t="shared" ref="K5:K68" si="0">ROUND(COS(2*PI()*(J5-1)/4),12)</f>
        <v>0</v>
      </c>
      <c r="L5">
        <f t="shared" ref="L5:L68" si="1">ROUND(SIN(2*PI()*(J5-1)/4),12)</f>
        <v>1</v>
      </c>
    </row>
    <row r="6" spans="1:12" s="35" customFormat="1" x14ac:dyDescent="0.25">
      <c r="A6" s="30">
        <v>1999.3</v>
      </c>
      <c r="B6" s="32">
        <v>141421.29999999999</v>
      </c>
      <c r="C6" s="32">
        <v>0.312</v>
      </c>
      <c r="D6" s="39">
        <v>7941</v>
      </c>
      <c r="E6" s="33">
        <v>58735</v>
      </c>
      <c r="F6" s="33">
        <v>14.39</v>
      </c>
      <c r="G6" s="33">
        <v>231.8</v>
      </c>
      <c r="H6" s="33">
        <v>47354.810000000005</v>
      </c>
      <c r="I6">
        <v>1999</v>
      </c>
      <c r="J6">
        <v>3</v>
      </c>
      <c r="K6">
        <f t="shared" si="0"/>
        <v>-1</v>
      </c>
      <c r="L6">
        <f t="shared" si="1"/>
        <v>0</v>
      </c>
    </row>
    <row r="7" spans="1:12" s="35" customFormat="1" x14ac:dyDescent="0.25">
      <c r="A7" s="30">
        <v>1999.4</v>
      </c>
      <c r="B7" s="32">
        <v>165818.6</v>
      </c>
      <c r="C7" s="32">
        <v>0.30499999999999999</v>
      </c>
      <c r="D7" s="39">
        <v>8061</v>
      </c>
      <c r="E7" s="33">
        <v>58785</v>
      </c>
      <c r="F7" s="33">
        <v>10.27</v>
      </c>
      <c r="G7" s="33">
        <v>343.2</v>
      </c>
      <c r="H7" s="33">
        <v>64047.06</v>
      </c>
      <c r="I7">
        <v>1999</v>
      </c>
      <c r="J7">
        <v>4</v>
      </c>
      <c r="K7">
        <f t="shared" si="0"/>
        <v>0</v>
      </c>
      <c r="L7">
        <f t="shared" si="1"/>
        <v>-1</v>
      </c>
    </row>
    <row r="8" spans="1:12" s="35" customFormat="1" x14ac:dyDescent="0.25">
      <c r="A8" s="30">
        <v>2000.1</v>
      </c>
      <c r="B8" s="32">
        <v>171499.3</v>
      </c>
      <c r="C8" s="32">
        <v>0.29599999999999999</v>
      </c>
      <c r="D8" s="39">
        <v>8162</v>
      </c>
      <c r="E8" s="33">
        <v>58836</v>
      </c>
      <c r="F8" s="33" t="s">
        <v>5</v>
      </c>
      <c r="G8" s="33" t="s">
        <v>6</v>
      </c>
      <c r="H8" s="33">
        <v>67985.229999999981</v>
      </c>
      <c r="I8">
        <v>2000</v>
      </c>
      <c r="J8">
        <v>1</v>
      </c>
      <c r="K8">
        <f t="shared" si="0"/>
        <v>1</v>
      </c>
      <c r="L8">
        <f t="shared" si="1"/>
        <v>0</v>
      </c>
    </row>
    <row r="9" spans="1:12" s="35" customFormat="1" x14ac:dyDescent="0.25">
      <c r="A9" s="30">
        <v>2000.2</v>
      </c>
      <c r="B9" s="32">
        <v>151791.4</v>
      </c>
      <c r="C9" s="32">
        <v>0.30399999999999999</v>
      </c>
      <c r="D9" s="39">
        <v>8214</v>
      </c>
      <c r="E9" s="33">
        <v>58886</v>
      </c>
      <c r="F9" s="33">
        <v>8.0299999999999994</v>
      </c>
      <c r="G9" s="33">
        <v>269.3</v>
      </c>
      <c r="H9" s="33">
        <v>53350.91</v>
      </c>
      <c r="I9">
        <v>2000</v>
      </c>
      <c r="J9">
        <v>2</v>
      </c>
      <c r="K9">
        <f t="shared" si="0"/>
        <v>0</v>
      </c>
      <c r="L9">
        <f t="shared" si="1"/>
        <v>1</v>
      </c>
    </row>
    <row r="10" spans="1:12" s="35" customFormat="1" x14ac:dyDescent="0.25">
      <c r="A10" s="30">
        <v>2000.3</v>
      </c>
      <c r="B10" s="32">
        <v>142397.70000000001</v>
      </c>
      <c r="C10" s="32">
        <v>0.30199999999999999</v>
      </c>
      <c r="D10" s="39">
        <v>8256</v>
      </c>
      <c r="E10" s="33">
        <v>58943</v>
      </c>
      <c r="F10" s="33">
        <v>14.15</v>
      </c>
      <c r="G10" s="33">
        <v>203.5</v>
      </c>
      <c r="H10" s="33">
        <v>48803.98</v>
      </c>
      <c r="I10">
        <v>2000</v>
      </c>
      <c r="J10">
        <v>3</v>
      </c>
      <c r="K10">
        <f t="shared" si="0"/>
        <v>-1</v>
      </c>
      <c r="L10">
        <f t="shared" si="1"/>
        <v>0</v>
      </c>
    </row>
    <row r="11" spans="1:12" s="35" customFormat="1" x14ac:dyDescent="0.25">
      <c r="A11" s="30">
        <v>2000.4</v>
      </c>
      <c r="B11" s="32">
        <v>169682.8</v>
      </c>
      <c r="C11" s="32">
        <v>0.30399999999999999</v>
      </c>
      <c r="D11" s="39">
        <v>8297</v>
      </c>
      <c r="E11" s="33">
        <v>59000</v>
      </c>
      <c r="F11" s="33">
        <v>9.52</v>
      </c>
      <c r="G11" s="33">
        <v>509.7</v>
      </c>
      <c r="H11" s="33">
        <v>64666.539999999986</v>
      </c>
      <c r="I11">
        <v>2000</v>
      </c>
      <c r="J11">
        <v>4</v>
      </c>
      <c r="K11">
        <f t="shared" si="0"/>
        <v>0</v>
      </c>
      <c r="L11">
        <f t="shared" si="1"/>
        <v>-1</v>
      </c>
    </row>
    <row r="12" spans="1:12" s="35" customFormat="1" x14ac:dyDescent="0.25">
      <c r="A12" s="30">
        <v>2001.1</v>
      </c>
      <c r="B12" s="32">
        <v>184543</v>
      </c>
      <c r="C12" s="32">
        <v>0.308</v>
      </c>
      <c r="D12" s="39">
        <v>8358</v>
      </c>
      <c r="E12" s="33">
        <v>59056</v>
      </c>
      <c r="F12" s="33" t="s">
        <v>7</v>
      </c>
      <c r="G12" s="33" t="s">
        <v>8</v>
      </c>
      <c r="H12" s="33">
        <v>69373.310000000012</v>
      </c>
      <c r="I12">
        <v>2001</v>
      </c>
      <c r="J12">
        <v>1</v>
      </c>
      <c r="K12">
        <f t="shared" si="0"/>
        <v>1</v>
      </c>
      <c r="L12">
        <f t="shared" si="1"/>
        <v>0</v>
      </c>
    </row>
    <row r="13" spans="1:12" s="35" customFormat="1" x14ac:dyDescent="0.25">
      <c r="A13" s="30">
        <v>2001.2</v>
      </c>
      <c r="B13" s="32">
        <v>156557.5</v>
      </c>
      <c r="C13" s="32">
        <v>0.308</v>
      </c>
      <c r="D13" s="39">
        <v>8384</v>
      </c>
      <c r="E13" s="33">
        <v>59113</v>
      </c>
      <c r="F13" s="33">
        <v>7.34</v>
      </c>
      <c r="G13" s="33">
        <v>218.5</v>
      </c>
      <c r="H13" s="33">
        <v>54121.859999999993</v>
      </c>
      <c r="I13">
        <v>2001</v>
      </c>
      <c r="J13">
        <v>2</v>
      </c>
      <c r="K13">
        <f t="shared" si="0"/>
        <v>0</v>
      </c>
      <c r="L13">
        <f t="shared" si="1"/>
        <v>1</v>
      </c>
    </row>
    <row r="14" spans="1:12" s="35" customFormat="1" x14ac:dyDescent="0.25">
      <c r="A14" s="30">
        <v>2001.3</v>
      </c>
      <c r="B14" s="32">
        <v>142871.9</v>
      </c>
      <c r="C14" s="32">
        <v>0.29699999999999999</v>
      </c>
      <c r="D14" s="39">
        <v>8415</v>
      </c>
      <c r="E14" s="33">
        <v>59176</v>
      </c>
      <c r="F14" s="33">
        <v>14.34</v>
      </c>
      <c r="G14" s="33">
        <v>236.6</v>
      </c>
      <c r="H14" s="33">
        <v>50220.289999999994</v>
      </c>
      <c r="I14">
        <v>2001</v>
      </c>
      <c r="J14">
        <v>3</v>
      </c>
      <c r="K14">
        <f t="shared" si="0"/>
        <v>-1</v>
      </c>
      <c r="L14">
        <f t="shared" si="1"/>
        <v>0</v>
      </c>
    </row>
    <row r="15" spans="1:12" s="35" customFormat="1" x14ac:dyDescent="0.25">
      <c r="A15" s="30">
        <v>2001.4</v>
      </c>
      <c r="B15" s="32">
        <v>165112.6</v>
      </c>
      <c r="C15" s="32">
        <v>0.28799999999999998</v>
      </c>
      <c r="D15" s="39">
        <v>8428</v>
      </c>
      <c r="E15" s="33">
        <v>59239</v>
      </c>
      <c r="F15" s="33">
        <v>10.4</v>
      </c>
      <c r="G15" s="33">
        <v>349.1</v>
      </c>
      <c r="H15" s="33">
        <v>63139.31</v>
      </c>
      <c r="I15">
        <v>2001</v>
      </c>
      <c r="J15">
        <v>4</v>
      </c>
      <c r="K15">
        <f t="shared" si="0"/>
        <v>0</v>
      </c>
      <c r="L15">
        <f t="shared" si="1"/>
        <v>-1</v>
      </c>
    </row>
    <row r="16" spans="1:12" s="35" customFormat="1" x14ac:dyDescent="0.25">
      <c r="A16" s="30">
        <v>2002.1</v>
      </c>
      <c r="B16" s="32">
        <v>175054.2</v>
      </c>
      <c r="C16" s="32">
        <v>0.28699999999999998</v>
      </c>
      <c r="D16" s="39">
        <v>8445</v>
      </c>
      <c r="E16" s="33">
        <v>59303</v>
      </c>
      <c r="F16" s="33" t="s">
        <v>9</v>
      </c>
      <c r="G16" s="33" t="s">
        <v>10</v>
      </c>
      <c r="H16" s="33">
        <v>66661.290000000008</v>
      </c>
      <c r="I16">
        <v>2002</v>
      </c>
      <c r="J16">
        <v>1</v>
      </c>
      <c r="K16">
        <f t="shared" si="0"/>
        <v>1</v>
      </c>
      <c r="L16">
        <f t="shared" si="1"/>
        <v>0</v>
      </c>
    </row>
    <row r="17" spans="1:12" s="35" customFormat="1" x14ac:dyDescent="0.25">
      <c r="A17" s="30">
        <v>2002.2</v>
      </c>
      <c r="B17" s="32">
        <v>145681.60000000001</v>
      </c>
      <c r="C17" s="32">
        <v>0.28100000000000003</v>
      </c>
      <c r="D17" s="39">
        <v>8480</v>
      </c>
      <c r="E17" s="33">
        <v>59366</v>
      </c>
      <c r="F17" s="33">
        <v>8.4499999999999993</v>
      </c>
      <c r="G17" s="33">
        <v>245.2</v>
      </c>
      <c r="H17" s="33">
        <v>52166.2</v>
      </c>
      <c r="I17">
        <v>2002</v>
      </c>
      <c r="J17">
        <v>2</v>
      </c>
      <c r="K17">
        <f t="shared" si="0"/>
        <v>0</v>
      </c>
      <c r="L17">
        <f t="shared" si="1"/>
        <v>1</v>
      </c>
    </row>
    <row r="18" spans="1:12" s="35" customFormat="1" x14ac:dyDescent="0.25">
      <c r="A18" s="30">
        <v>2002.3</v>
      </c>
      <c r="B18" s="32">
        <v>141017.20000000001</v>
      </c>
      <c r="C18" s="32">
        <v>0.28499999999999998</v>
      </c>
      <c r="D18" s="39">
        <v>8520</v>
      </c>
      <c r="E18" s="33">
        <v>59433</v>
      </c>
      <c r="F18" s="33">
        <v>14.39</v>
      </c>
      <c r="G18" s="33">
        <v>259.10000000000002</v>
      </c>
      <c r="H18" s="33">
        <v>48198.280000000006</v>
      </c>
      <c r="I18">
        <v>2002</v>
      </c>
      <c r="J18">
        <v>3</v>
      </c>
      <c r="K18">
        <f t="shared" si="0"/>
        <v>-1</v>
      </c>
      <c r="L18">
        <f t="shared" si="1"/>
        <v>0</v>
      </c>
    </row>
    <row r="19" spans="1:12" s="35" customFormat="1" x14ac:dyDescent="0.25">
      <c r="A19" s="30">
        <v>2002.4</v>
      </c>
      <c r="B19" s="32">
        <v>167054.39999999999</v>
      </c>
      <c r="C19" s="32">
        <v>0.28299999999999997</v>
      </c>
      <c r="D19" s="39">
        <v>8567</v>
      </c>
      <c r="E19" s="33">
        <v>59501</v>
      </c>
      <c r="F19" s="33">
        <v>9.76</v>
      </c>
      <c r="G19" s="33">
        <v>357.5</v>
      </c>
      <c r="H19" s="33">
        <v>62578.81</v>
      </c>
      <c r="I19">
        <v>2002</v>
      </c>
      <c r="J19">
        <v>4</v>
      </c>
      <c r="K19">
        <f t="shared" si="0"/>
        <v>0</v>
      </c>
      <c r="L19">
        <f t="shared" si="1"/>
        <v>-1</v>
      </c>
    </row>
    <row r="20" spans="1:12" s="35" customFormat="1" x14ac:dyDescent="0.25">
      <c r="A20" s="30">
        <v>2003.1</v>
      </c>
      <c r="B20" s="32">
        <v>175719.8</v>
      </c>
      <c r="C20" s="32">
        <v>0.28000000000000003</v>
      </c>
      <c r="D20" s="39">
        <v>8629</v>
      </c>
      <c r="E20" s="33">
        <v>59569</v>
      </c>
      <c r="F20" s="33" t="s">
        <v>11</v>
      </c>
      <c r="G20" s="33" t="s">
        <v>12</v>
      </c>
      <c r="H20" s="33">
        <v>67308.530000000013</v>
      </c>
      <c r="I20">
        <v>2003</v>
      </c>
      <c r="J20">
        <v>1</v>
      </c>
      <c r="K20">
        <f t="shared" si="0"/>
        <v>1</v>
      </c>
      <c r="L20">
        <f t="shared" si="1"/>
        <v>0</v>
      </c>
    </row>
    <row r="21" spans="1:12" s="35" customFormat="1" x14ac:dyDescent="0.25">
      <c r="A21" s="30">
        <v>2003.2</v>
      </c>
      <c r="B21" s="32">
        <v>150813.79999999999</v>
      </c>
      <c r="C21" s="32">
        <v>0.28399999999999997</v>
      </c>
      <c r="D21" s="39">
        <v>8699</v>
      </c>
      <c r="E21" s="33">
        <v>59637</v>
      </c>
      <c r="F21" s="33">
        <v>8.74</v>
      </c>
      <c r="G21" s="33">
        <v>202.2</v>
      </c>
      <c r="H21" s="33">
        <v>52783.869999999995</v>
      </c>
      <c r="I21">
        <v>2003</v>
      </c>
      <c r="J21">
        <v>2</v>
      </c>
      <c r="K21">
        <f t="shared" si="0"/>
        <v>0</v>
      </c>
      <c r="L21">
        <f t="shared" si="1"/>
        <v>1</v>
      </c>
    </row>
    <row r="22" spans="1:12" s="35" customFormat="1" x14ac:dyDescent="0.25">
      <c r="A22" s="30">
        <v>2003.3</v>
      </c>
      <c r="B22" s="32">
        <v>142248.9</v>
      </c>
      <c r="C22" s="32">
        <v>0.28199999999999997</v>
      </c>
      <c r="D22" s="39">
        <v>8779</v>
      </c>
      <c r="E22" s="33">
        <v>59715</v>
      </c>
      <c r="F22" s="33">
        <v>15.74</v>
      </c>
      <c r="G22" s="33">
        <v>176.1</v>
      </c>
      <c r="H22" s="33">
        <v>47679.189999999995</v>
      </c>
      <c r="I22">
        <v>2003</v>
      </c>
      <c r="J22">
        <v>3</v>
      </c>
      <c r="K22">
        <f t="shared" si="0"/>
        <v>-1</v>
      </c>
      <c r="L22">
        <f t="shared" si="1"/>
        <v>0</v>
      </c>
    </row>
    <row r="23" spans="1:12" s="35" customFormat="1" x14ac:dyDescent="0.25">
      <c r="A23" s="30">
        <v>2003.4</v>
      </c>
      <c r="B23" s="32">
        <v>172234.6</v>
      </c>
      <c r="C23" s="32">
        <v>0.28199999999999997</v>
      </c>
      <c r="D23" s="39">
        <v>8836</v>
      </c>
      <c r="E23" s="33">
        <v>59794</v>
      </c>
      <c r="F23" s="33">
        <v>9.5</v>
      </c>
      <c r="G23" s="33">
        <v>238.2</v>
      </c>
      <c r="H23" s="33">
        <v>64095.18</v>
      </c>
      <c r="I23">
        <v>2003</v>
      </c>
      <c r="J23">
        <v>4</v>
      </c>
      <c r="K23">
        <f t="shared" si="0"/>
        <v>0</v>
      </c>
      <c r="L23">
        <f t="shared" si="1"/>
        <v>-1</v>
      </c>
    </row>
    <row r="24" spans="1:12" s="35" customFormat="1" x14ac:dyDescent="0.25">
      <c r="A24" s="30">
        <v>2004.1</v>
      </c>
      <c r="B24" s="32">
        <v>182052</v>
      </c>
      <c r="C24" s="32">
        <v>0.28000000000000003</v>
      </c>
      <c r="D24" s="39">
        <v>8852</v>
      </c>
      <c r="E24" s="33">
        <v>59872</v>
      </c>
      <c r="F24" s="33" t="s">
        <v>13</v>
      </c>
      <c r="G24" s="33" t="s">
        <v>14</v>
      </c>
      <c r="H24" s="33">
        <v>69531.87000000001</v>
      </c>
      <c r="I24">
        <v>2004</v>
      </c>
      <c r="J24">
        <v>1</v>
      </c>
      <c r="K24">
        <f t="shared" si="0"/>
        <v>1</v>
      </c>
      <c r="L24">
        <f t="shared" si="1"/>
        <v>0</v>
      </c>
    </row>
    <row r="25" spans="1:12" s="35" customFormat="1" x14ac:dyDescent="0.25">
      <c r="A25" s="30">
        <v>2004.2</v>
      </c>
      <c r="B25" s="32">
        <v>148829.79999999999</v>
      </c>
      <c r="C25" s="32">
        <v>0.27400000000000002</v>
      </c>
      <c r="D25" s="39">
        <v>8883</v>
      </c>
      <c r="E25" s="33">
        <v>59950</v>
      </c>
      <c r="F25" s="33">
        <v>8.39</v>
      </c>
      <c r="G25" s="33">
        <v>213.9</v>
      </c>
      <c r="H25" s="33">
        <v>51833.79</v>
      </c>
      <c r="I25">
        <v>2004</v>
      </c>
      <c r="J25">
        <v>2</v>
      </c>
      <c r="K25">
        <f t="shared" si="0"/>
        <v>0</v>
      </c>
      <c r="L25">
        <f t="shared" si="1"/>
        <v>1</v>
      </c>
    </row>
    <row r="26" spans="1:12" s="35" customFormat="1" x14ac:dyDescent="0.25">
      <c r="A26" s="30">
        <v>2004.3</v>
      </c>
      <c r="B26" s="32">
        <v>143414.70000000001</v>
      </c>
      <c r="C26" s="32">
        <v>0.27900000000000003</v>
      </c>
      <c r="D26" s="39">
        <v>8898</v>
      </c>
      <c r="E26" s="33">
        <v>60066</v>
      </c>
      <c r="F26" s="33">
        <v>14.83</v>
      </c>
      <c r="G26" s="33">
        <v>314.7</v>
      </c>
      <c r="H26" s="33">
        <v>47652.049999999996</v>
      </c>
      <c r="I26">
        <v>2004</v>
      </c>
      <c r="J26">
        <v>3</v>
      </c>
      <c r="K26">
        <f t="shared" si="0"/>
        <v>-1</v>
      </c>
      <c r="L26">
        <f t="shared" si="1"/>
        <v>0</v>
      </c>
    </row>
    <row r="27" spans="1:12" s="35" customFormat="1" x14ac:dyDescent="0.25">
      <c r="A27" s="30">
        <v>2004.4</v>
      </c>
      <c r="B27" s="32">
        <v>171521.4</v>
      </c>
      <c r="C27" s="32">
        <v>0.27600000000000002</v>
      </c>
      <c r="D27" s="39">
        <v>8921</v>
      </c>
      <c r="E27" s="33">
        <v>60182</v>
      </c>
      <c r="F27" s="33">
        <v>9.92</v>
      </c>
      <c r="G27" s="33">
        <v>343.7</v>
      </c>
      <c r="H27" s="33">
        <v>64615.45</v>
      </c>
      <c r="I27">
        <v>2004</v>
      </c>
      <c r="J27">
        <v>4</v>
      </c>
      <c r="K27">
        <f t="shared" si="0"/>
        <v>0</v>
      </c>
      <c r="L27">
        <f t="shared" si="1"/>
        <v>-1</v>
      </c>
    </row>
    <row r="28" spans="1:12" s="35" customFormat="1" x14ac:dyDescent="0.25">
      <c r="A28" s="30">
        <v>2005.1</v>
      </c>
      <c r="B28" s="32">
        <v>181080.7</v>
      </c>
      <c r="C28" s="32">
        <v>0.27400000000000002</v>
      </c>
      <c r="D28" s="39">
        <v>8973</v>
      </c>
      <c r="E28" s="33">
        <v>60298</v>
      </c>
      <c r="F28" s="33" t="s">
        <v>15</v>
      </c>
      <c r="G28" s="33" t="s">
        <v>16</v>
      </c>
      <c r="H28" s="33">
        <v>69200.140000000014</v>
      </c>
      <c r="I28">
        <v>2005</v>
      </c>
      <c r="J28">
        <v>1</v>
      </c>
      <c r="K28">
        <f t="shared" si="0"/>
        <v>1</v>
      </c>
      <c r="L28">
        <f t="shared" si="1"/>
        <v>0</v>
      </c>
    </row>
    <row r="29" spans="1:12" s="35" customFormat="1" x14ac:dyDescent="0.25">
      <c r="A29" s="30">
        <v>2005.2</v>
      </c>
      <c r="B29" s="32">
        <v>152629</v>
      </c>
      <c r="C29" s="32">
        <v>0.27600000000000002</v>
      </c>
      <c r="D29" s="39">
        <v>9030</v>
      </c>
      <c r="E29" s="33">
        <v>60413</v>
      </c>
      <c r="F29" s="33">
        <v>8.08</v>
      </c>
      <c r="G29" s="33">
        <v>236.3</v>
      </c>
      <c r="H29" s="33">
        <v>54455.85</v>
      </c>
      <c r="I29">
        <v>2005</v>
      </c>
      <c r="J29">
        <v>2</v>
      </c>
      <c r="K29">
        <f t="shared" si="0"/>
        <v>0</v>
      </c>
      <c r="L29">
        <f t="shared" si="1"/>
        <v>1</v>
      </c>
    </row>
    <row r="30" spans="1:12" s="35" customFormat="1" x14ac:dyDescent="0.25">
      <c r="A30" s="30">
        <v>2005.3</v>
      </c>
      <c r="B30" s="32">
        <v>140875.70000000001</v>
      </c>
      <c r="C30" s="32">
        <v>0.26800000000000002</v>
      </c>
      <c r="D30" s="39">
        <v>9097</v>
      </c>
      <c r="E30" s="33">
        <v>60517</v>
      </c>
      <c r="F30" s="33">
        <v>14.74</v>
      </c>
      <c r="G30" s="33">
        <v>216.7</v>
      </c>
      <c r="H30" s="33">
        <v>48390.12000000001</v>
      </c>
      <c r="I30">
        <v>2005</v>
      </c>
      <c r="J30">
        <v>3</v>
      </c>
      <c r="K30">
        <f t="shared" si="0"/>
        <v>-1</v>
      </c>
      <c r="L30">
        <f t="shared" si="1"/>
        <v>0</v>
      </c>
    </row>
    <row r="31" spans="1:12" s="35" customFormat="1" x14ac:dyDescent="0.25">
      <c r="A31" s="30">
        <v>2005.4</v>
      </c>
      <c r="B31" s="32">
        <v>172412.3</v>
      </c>
      <c r="C31" s="32">
        <v>0.26800000000000002</v>
      </c>
      <c r="D31" s="39">
        <v>9177</v>
      </c>
      <c r="E31" s="33">
        <v>60620</v>
      </c>
      <c r="F31" s="33">
        <v>10.34</v>
      </c>
      <c r="G31" s="33">
        <v>349.5</v>
      </c>
      <c r="H31" s="33">
        <v>64243.600000000006</v>
      </c>
      <c r="I31">
        <v>2005</v>
      </c>
      <c r="J31">
        <v>4</v>
      </c>
      <c r="K31">
        <f t="shared" si="0"/>
        <v>0</v>
      </c>
      <c r="L31">
        <f t="shared" si="1"/>
        <v>-1</v>
      </c>
    </row>
    <row r="32" spans="1:12" s="35" customFormat="1" x14ac:dyDescent="0.25">
      <c r="A32" s="30">
        <v>2006.1</v>
      </c>
      <c r="B32" s="32">
        <v>185503.5</v>
      </c>
      <c r="C32" s="32">
        <v>0.26800000000000002</v>
      </c>
      <c r="D32" s="39">
        <v>9194</v>
      </c>
      <c r="E32" s="33">
        <v>60724</v>
      </c>
      <c r="F32" s="33" t="s">
        <v>17</v>
      </c>
      <c r="G32" s="33" t="s">
        <v>18</v>
      </c>
      <c r="H32" s="33">
        <v>70923.94</v>
      </c>
      <c r="I32">
        <v>2006</v>
      </c>
      <c r="J32">
        <v>1</v>
      </c>
      <c r="K32">
        <f t="shared" si="0"/>
        <v>1</v>
      </c>
      <c r="L32">
        <f t="shared" si="1"/>
        <v>0</v>
      </c>
    </row>
    <row r="33" spans="1:12" s="35" customFormat="1" x14ac:dyDescent="0.25">
      <c r="A33" s="30">
        <v>2006.2</v>
      </c>
      <c r="B33" s="32">
        <v>145792.9</v>
      </c>
      <c r="C33" s="32">
        <v>0.25800000000000001</v>
      </c>
      <c r="D33" s="39">
        <v>9203</v>
      </c>
      <c r="E33" s="33">
        <v>60827</v>
      </c>
      <c r="F33" s="33">
        <v>7.33</v>
      </c>
      <c r="G33" s="33">
        <v>290.2</v>
      </c>
      <c r="H33" s="33">
        <v>52777.529999999992</v>
      </c>
      <c r="I33">
        <v>2006</v>
      </c>
      <c r="J33">
        <v>2</v>
      </c>
      <c r="K33">
        <f t="shared" si="0"/>
        <v>0</v>
      </c>
      <c r="L33">
        <f t="shared" si="1"/>
        <v>1</v>
      </c>
    </row>
    <row r="34" spans="1:12" s="35" customFormat="1" x14ac:dyDescent="0.25">
      <c r="A34" s="30">
        <v>2006.3</v>
      </c>
      <c r="B34" s="32">
        <v>139922.1</v>
      </c>
      <c r="C34" s="32">
        <v>0.26</v>
      </c>
      <c r="D34" s="39">
        <v>9199</v>
      </c>
      <c r="E34" s="33">
        <v>60950</v>
      </c>
      <c r="F34" s="33">
        <v>15.75</v>
      </c>
      <c r="G34" s="33">
        <v>187.1</v>
      </c>
      <c r="H34" s="33">
        <v>47803.62</v>
      </c>
      <c r="I34">
        <v>2006</v>
      </c>
      <c r="J34">
        <v>3</v>
      </c>
      <c r="K34">
        <f t="shared" si="0"/>
        <v>-1</v>
      </c>
      <c r="L34">
        <f t="shared" si="1"/>
        <v>0</v>
      </c>
    </row>
    <row r="35" spans="1:12" s="35" customFormat="1" x14ac:dyDescent="0.25">
      <c r="A35" s="30">
        <v>2006.4</v>
      </c>
      <c r="B35" s="32">
        <v>165518.1</v>
      </c>
      <c r="C35" s="32">
        <v>0.25600000000000001</v>
      </c>
      <c r="D35" s="39">
        <v>9213</v>
      </c>
      <c r="E35" s="33">
        <v>61073</v>
      </c>
      <c r="F35" s="33">
        <v>11.35</v>
      </c>
      <c r="G35" s="33">
        <v>397.6</v>
      </c>
      <c r="H35" s="33">
        <v>61568.109999999993</v>
      </c>
      <c r="I35">
        <v>2006</v>
      </c>
      <c r="J35">
        <v>4</v>
      </c>
      <c r="K35">
        <f t="shared" si="0"/>
        <v>0</v>
      </c>
      <c r="L35">
        <f t="shared" si="1"/>
        <v>-1</v>
      </c>
    </row>
    <row r="36" spans="1:12" s="35" customFormat="1" x14ac:dyDescent="0.25">
      <c r="A36" s="30">
        <v>2007.1</v>
      </c>
      <c r="B36" s="32">
        <v>176189.5</v>
      </c>
      <c r="C36" s="32">
        <v>0.253</v>
      </c>
      <c r="D36" s="39">
        <v>9295</v>
      </c>
      <c r="E36" s="33">
        <v>61196</v>
      </c>
      <c r="F36" s="33" t="s">
        <v>19</v>
      </c>
      <c r="G36" s="33" t="s">
        <v>20</v>
      </c>
      <c r="H36" s="33">
        <v>65054.330000000009</v>
      </c>
      <c r="I36">
        <v>2007</v>
      </c>
      <c r="J36">
        <v>1</v>
      </c>
      <c r="K36">
        <f t="shared" si="0"/>
        <v>1</v>
      </c>
      <c r="L36">
        <f t="shared" si="1"/>
        <v>0</v>
      </c>
    </row>
    <row r="37" spans="1:12" s="35" customFormat="1" x14ac:dyDescent="0.25">
      <c r="A37" s="30">
        <v>2007.2</v>
      </c>
      <c r="B37" s="32">
        <v>145323.9</v>
      </c>
      <c r="C37" s="32">
        <v>0.252</v>
      </c>
      <c r="D37" s="39">
        <v>9364</v>
      </c>
      <c r="E37" s="33">
        <v>61319</v>
      </c>
      <c r="F37" s="33">
        <v>9.02</v>
      </c>
      <c r="G37" s="33">
        <v>227.8</v>
      </c>
      <c r="H37" s="33">
        <v>51120.460000000006</v>
      </c>
      <c r="I37">
        <v>2007</v>
      </c>
      <c r="J37">
        <v>2</v>
      </c>
      <c r="K37">
        <f t="shared" si="0"/>
        <v>0</v>
      </c>
      <c r="L37">
        <f t="shared" si="1"/>
        <v>1</v>
      </c>
    </row>
    <row r="38" spans="1:12" s="35" customFormat="1" x14ac:dyDescent="0.25">
      <c r="A38" s="30">
        <v>2007.3</v>
      </c>
      <c r="B38" s="32">
        <v>140012.70000000001</v>
      </c>
      <c r="C38" s="32">
        <v>0.252</v>
      </c>
      <c r="D38" s="39">
        <v>9433</v>
      </c>
      <c r="E38" s="33">
        <v>61445</v>
      </c>
      <c r="F38" s="33">
        <v>14.1</v>
      </c>
      <c r="G38" s="33">
        <v>356.6</v>
      </c>
      <c r="H38" s="33">
        <v>48772.42</v>
      </c>
      <c r="I38">
        <v>2007</v>
      </c>
      <c r="J38">
        <v>3</v>
      </c>
      <c r="K38">
        <f t="shared" si="0"/>
        <v>-1</v>
      </c>
      <c r="L38">
        <f t="shared" si="1"/>
        <v>0</v>
      </c>
    </row>
    <row r="39" spans="1:12" s="35" customFormat="1" x14ac:dyDescent="0.25">
      <c r="A39" s="30">
        <v>2007.4</v>
      </c>
      <c r="B39" s="32">
        <v>169658.7</v>
      </c>
      <c r="C39" s="32">
        <v>0.254</v>
      </c>
      <c r="D39" s="39">
        <v>9493</v>
      </c>
      <c r="E39" s="33">
        <v>61571</v>
      </c>
      <c r="F39" s="33">
        <v>9.9</v>
      </c>
      <c r="G39" s="33">
        <v>231.8</v>
      </c>
      <c r="H39" s="33">
        <v>62544.960000000006</v>
      </c>
      <c r="I39">
        <v>2007</v>
      </c>
      <c r="J39">
        <v>4</v>
      </c>
      <c r="K39">
        <f t="shared" si="0"/>
        <v>0</v>
      </c>
      <c r="L39">
        <f t="shared" si="1"/>
        <v>-1</v>
      </c>
    </row>
    <row r="40" spans="1:12" s="35" customFormat="1" x14ac:dyDescent="0.25">
      <c r="A40" s="30">
        <v>2008.1</v>
      </c>
      <c r="B40" s="32">
        <v>174137.60000000001</v>
      </c>
      <c r="C40" s="32">
        <v>0.24299999999999999</v>
      </c>
      <c r="D40" s="39">
        <v>9509</v>
      </c>
      <c r="E40" s="33">
        <v>61698</v>
      </c>
      <c r="F40" s="33" t="s">
        <v>21</v>
      </c>
      <c r="G40" s="33" t="s">
        <v>22</v>
      </c>
      <c r="H40" s="33">
        <v>65877.760000000009</v>
      </c>
      <c r="I40">
        <v>2008</v>
      </c>
      <c r="J40">
        <v>1</v>
      </c>
      <c r="K40">
        <f t="shared" si="0"/>
        <v>1</v>
      </c>
      <c r="L40">
        <f t="shared" si="1"/>
        <v>0</v>
      </c>
    </row>
    <row r="41" spans="1:12" s="35" customFormat="1" x14ac:dyDescent="0.25">
      <c r="A41" s="30">
        <v>2008.2</v>
      </c>
      <c r="B41" s="32">
        <v>147371.29999999999</v>
      </c>
      <c r="C41" s="32">
        <v>0.25</v>
      </c>
      <c r="D41" s="39">
        <v>9439</v>
      </c>
      <c r="E41" s="33">
        <v>61824</v>
      </c>
      <c r="F41" s="33">
        <v>8.1</v>
      </c>
      <c r="G41" s="33">
        <v>246.6</v>
      </c>
      <c r="H41" s="33">
        <v>51947.87999999999</v>
      </c>
      <c r="I41">
        <v>2008</v>
      </c>
      <c r="J41">
        <v>2</v>
      </c>
      <c r="K41">
        <f t="shared" si="0"/>
        <v>0</v>
      </c>
      <c r="L41">
        <f t="shared" si="1"/>
        <v>1</v>
      </c>
    </row>
    <row r="42" spans="1:12" s="35" customFormat="1" x14ac:dyDescent="0.25">
      <c r="A42" s="30">
        <v>2008.3</v>
      </c>
      <c r="B42" s="32">
        <v>135681.5</v>
      </c>
      <c r="C42" s="32">
        <v>0.247</v>
      </c>
      <c r="D42" s="39">
        <v>9267</v>
      </c>
      <c r="E42" s="33">
        <v>61933</v>
      </c>
      <c r="F42" s="33">
        <v>14.45</v>
      </c>
      <c r="G42" s="33">
        <v>321.8</v>
      </c>
      <c r="H42" s="33">
        <v>47116.249999999993</v>
      </c>
      <c r="I42">
        <v>2008</v>
      </c>
      <c r="J42">
        <v>3</v>
      </c>
      <c r="K42">
        <f t="shared" si="0"/>
        <v>-1</v>
      </c>
      <c r="L42">
        <f t="shared" si="1"/>
        <v>0</v>
      </c>
    </row>
    <row r="43" spans="1:12" s="35" customFormat="1" x14ac:dyDescent="0.25">
      <c r="A43" s="30">
        <v>2008.4</v>
      </c>
      <c r="B43" s="32">
        <v>159546.4</v>
      </c>
      <c r="C43" s="32">
        <v>0.24199999999999999</v>
      </c>
      <c r="D43" s="39">
        <v>9055</v>
      </c>
      <c r="E43" s="33">
        <v>62042</v>
      </c>
      <c r="F43" s="33">
        <v>9.08</v>
      </c>
      <c r="G43" s="33">
        <v>365.9</v>
      </c>
      <c r="H43" s="33">
        <v>60712.26</v>
      </c>
      <c r="I43">
        <v>2008</v>
      </c>
      <c r="J43">
        <v>4</v>
      </c>
      <c r="K43">
        <f t="shared" si="0"/>
        <v>0</v>
      </c>
      <c r="L43">
        <f t="shared" si="1"/>
        <v>-1</v>
      </c>
    </row>
    <row r="44" spans="1:12" s="35" customFormat="1" x14ac:dyDescent="0.25">
      <c r="A44" s="30">
        <v>2009.1</v>
      </c>
      <c r="B44" s="32">
        <v>162316.29999999999</v>
      </c>
      <c r="C44" s="32">
        <v>0.24</v>
      </c>
      <c r="D44" s="39">
        <v>8857</v>
      </c>
      <c r="E44" s="33">
        <v>62151</v>
      </c>
      <c r="F44" s="33" t="s">
        <v>23</v>
      </c>
      <c r="G44" s="33" t="s">
        <v>24</v>
      </c>
      <c r="H44" s="33">
        <v>63214.39</v>
      </c>
      <c r="I44">
        <v>2009</v>
      </c>
      <c r="J44">
        <v>1</v>
      </c>
      <c r="K44">
        <f t="shared" si="0"/>
        <v>1</v>
      </c>
      <c r="L44">
        <f t="shared" si="1"/>
        <v>0</v>
      </c>
    </row>
    <row r="45" spans="1:12" s="35" customFormat="1" x14ac:dyDescent="0.25">
      <c r="A45" s="30">
        <v>2009.2</v>
      </c>
      <c r="B45" s="32">
        <v>128932.8</v>
      </c>
      <c r="C45" s="32">
        <v>0.22800000000000001</v>
      </c>
      <c r="D45" s="39">
        <v>8815</v>
      </c>
      <c r="E45" s="33">
        <v>62261</v>
      </c>
      <c r="F45" s="33">
        <v>8.59</v>
      </c>
      <c r="G45" s="33">
        <v>220.6</v>
      </c>
      <c r="H45" s="33">
        <v>47327.21</v>
      </c>
      <c r="I45">
        <v>2009</v>
      </c>
      <c r="J45">
        <v>2</v>
      </c>
      <c r="K45">
        <f t="shared" si="0"/>
        <v>0</v>
      </c>
      <c r="L45">
        <f t="shared" si="1"/>
        <v>1</v>
      </c>
    </row>
    <row r="46" spans="1:12" s="35" customFormat="1" x14ac:dyDescent="0.25">
      <c r="A46" s="30">
        <v>2009.3</v>
      </c>
      <c r="B46" s="32">
        <v>122891.4</v>
      </c>
      <c r="C46" s="32">
        <v>0.22500000000000001</v>
      </c>
      <c r="D46" s="39">
        <v>8809</v>
      </c>
      <c r="E46" s="33">
        <v>62385</v>
      </c>
      <c r="F46" s="33">
        <v>14.71</v>
      </c>
      <c r="G46" s="33">
        <v>321.89999999999998</v>
      </c>
      <c r="H46" s="33">
        <v>43638.89</v>
      </c>
      <c r="I46">
        <v>2009</v>
      </c>
      <c r="J46">
        <v>3</v>
      </c>
      <c r="K46">
        <f t="shared" si="0"/>
        <v>-1</v>
      </c>
      <c r="L46">
        <f t="shared" si="1"/>
        <v>0</v>
      </c>
    </row>
    <row r="47" spans="1:12" s="35" customFormat="1" x14ac:dyDescent="0.25">
      <c r="A47" s="30">
        <v>2009.4</v>
      </c>
      <c r="B47" s="32">
        <v>149284.70000000001</v>
      </c>
      <c r="C47" s="32">
        <v>0.22700000000000001</v>
      </c>
      <c r="D47" s="39">
        <v>8821</v>
      </c>
      <c r="E47" s="33">
        <v>62510</v>
      </c>
      <c r="F47" s="33">
        <v>10.28</v>
      </c>
      <c r="G47" s="33">
        <v>386</v>
      </c>
      <c r="H47" s="33">
        <v>57639.950000000012</v>
      </c>
      <c r="I47">
        <v>2009</v>
      </c>
      <c r="J47">
        <v>4</v>
      </c>
      <c r="K47">
        <f t="shared" si="0"/>
        <v>0</v>
      </c>
      <c r="L47">
        <f t="shared" si="1"/>
        <v>-1</v>
      </c>
    </row>
    <row r="48" spans="1:12" s="35" customFormat="1" x14ac:dyDescent="0.25">
      <c r="A48" s="30">
        <v>2010.1</v>
      </c>
      <c r="B48" s="32">
        <v>160944.29999999999</v>
      </c>
      <c r="C48" s="32">
        <v>0.23100000000000001</v>
      </c>
      <c r="D48" s="39">
        <v>8877</v>
      </c>
      <c r="E48" s="33">
        <v>62635</v>
      </c>
      <c r="F48" s="33" t="s">
        <v>25</v>
      </c>
      <c r="G48" s="33" t="s">
        <v>26</v>
      </c>
      <c r="H48" s="33">
        <v>65051.049999999988</v>
      </c>
      <c r="I48">
        <v>2010</v>
      </c>
      <c r="J48">
        <v>1</v>
      </c>
      <c r="K48">
        <f t="shared" si="0"/>
        <v>1</v>
      </c>
      <c r="L48">
        <f t="shared" si="1"/>
        <v>0</v>
      </c>
    </row>
    <row r="49" spans="1:12" s="35" customFormat="1" x14ac:dyDescent="0.25">
      <c r="A49" s="30">
        <v>2010.2</v>
      </c>
      <c r="B49" s="32">
        <v>134037.1</v>
      </c>
      <c r="C49" s="32">
        <v>0.23100000000000001</v>
      </c>
      <c r="D49" s="39">
        <v>8960</v>
      </c>
      <c r="E49" s="33">
        <v>62760</v>
      </c>
      <c r="F49" s="33">
        <v>7.57</v>
      </c>
      <c r="G49" s="33">
        <v>165.1</v>
      </c>
      <c r="H49" s="33">
        <v>48164.51</v>
      </c>
      <c r="I49">
        <v>2010</v>
      </c>
      <c r="J49">
        <v>2</v>
      </c>
      <c r="K49">
        <f t="shared" si="0"/>
        <v>0</v>
      </c>
      <c r="L49">
        <f t="shared" si="1"/>
        <v>1</v>
      </c>
    </row>
    <row r="50" spans="1:12" s="35" customFormat="1" x14ac:dyDescent="0.25">
      <c r="A50" s="30">
        <v>2010.3</v>
      </c>
      <c r="B50" s="32">
        <v>129158.7</v>
      </c>
      <c r="C50" s="32">
        <v>0.23</v>
      </c>
      <c r="D50" s="39">
        <v>8994</v>
      </c>
      <c r="E50" s="33">
        <v>62891</v>
      </c>
      <c r="F50" s="33">
        <v>14.62</v>
      </c>
      <c r="G50" s="33">
        <v>242.9</v>
      </c>
      <c r="H50" s="33">
        <v>44098.509999999995</v>
      </c>
      <c r="I50">
        <v>2010</v>
      </c>
      <c r="J50">
        <v>3</v>
      </c>
      <c r="K50">
        <f t="shared" si="0"/>
        <v>-1</v>
      </c>
      <c r="L50">
        <f t="shared" si="1"/>
        <v>0</v>
      </c>
    </row>
    <row r="51" spans="1:12" s="35" customFormat="1" x14ac:dyDescent="0.25">
      <c r="A51" s="30">
        <v>2010.4</v>
      </c>
      <c r="B51" s="32">
        <v>161417.29999999999</v>
      </c>
      <c r="C51" s="32">
        <v>0.23699999999999999</v>
      </c>
      <c r="D51" s="39">
        <v>8980</v>
      </c>
      <c r="E51" s="33">
        <v>63022</v>
      </c>
      <c r="F51" s="33">
        <v>8.83</v>
      </c>
      <c r="G51" s="33">
        <v>336.5</v>
      </c>
      <c r="H51" s="33">
        <v>62708.24</v>
      </c>
      <c r="I51">
        <v>2010</v>
      </c>
      <c r="J51">
        <v>4</v>
      </c>
      <c r="K51">
        <f t="shared" si="0"/>
        <v>0</v>
      </c>
      <c r="L51">
        <f t="shared" si="1"/>
        <v>-1</v>
      </c>
    </row>
    <row r="52" spans="1:12" s="35" customFormat="1" x14ac:dyDescent="0.25">
      <c r="A52" s="30">
        <v>2011.1</v>
      </c>
      <c r="B52" s="32">
        <v>154582.20000000001</v>
      </c>
      <c r="C52" s="32">
        <v>0.223</v>
      </c>
      <c r="D52" s="39">
        <v>8976</v>
      </c>
      <c r="E52" s="33">
        <v>63154</v>
      </c>
      <c r="F52" s="33" t="s">
        <v>27</v>
      </c>
      <c r="G52" s="33" t="s">
        <v>28</v>
      </c>
      <c r="H52" s="33">
        <v>60884.72</v>
      </c>
      <c r="I52">
        <v>2011</v>
      </c>
      <c r="J52">
        <v>1</v>
      </c>
      <c r="K52">
        <f t="shared" si="0"/>
        <v>1</v>
      </c>
      <c r="L52">
        <f t="shared" si="1"/>
        <v>0</v>
      </c>
    </row>
    <row r="53" spans="1:12" s="35" customFormat="1" x14ac:dyDescent="0.25">
      <c r="A53" s="30">
        <v>2011.2</v>
      </c>
      <c r="B53" s="32">
        <v>125167.6</v>
      </c>
      <c r="C53" s="32">
        <v>0.217</v>
      </c>
      <c r="D53" s="39">
        <v>8953</v>
      </c>
      <c r="E53" s="33">
        <v>63285</v>
      </c>
      <c r="F53" s="33">
        <v>9.1199999999999992</v>
      </c>
      <c r="G53" s="33">
        <v>185.9</v>
      </c>
      <c r="H53" s="33">
        <v>45626.89</v>
      </c>
      <c r="I53">
        <v>2011</v>
      </c>
      <c r="J53">
        <v>2</v>
      </c>
      <c r="K53">
        <f t="shared" si="0"/>
        <v>0</v>
      </c>
      <c r="L53">
        <f t="shared" si="1"/>
        <v>1</v>
      </c>
    </row>
    <row r="54" spans="1:12" s="35" customFormat="1" x14ac:dyDescent="0.25">
      <c r="A54" s="30">
        <v>2011.3</v>
      </c>
      <c r="B54" s="32">
        <v>122388.7</v>
      </c>
      <c r="C54" s="32">
        <v>0.218</v>
      </c>
      <c r="D54" s="39">
        <v>8954</v>
      </c>
      <c r="E54" s="33">
        <v>63391</v>
      </c>
      <c r="F54" s="33">
        <v>13.63</v>
      </c>
      <c r="G54" s="33">
        <v>265.8</v>
      </c>
      <c r="H54" s="33">
        <v>42948.159999999996</v>
      </c>
      <c r="I54">
        <v>2011</v>
      </c>
      <c r="J54">
        <v>3</v>
      </c>
      <c r="K54">
        <f t="shared" si="0"/>
        <v>-1</v>
      </c>
      <c r="L54">
        <f t="shared" si="1"/>
        <v>0</v>
      </c>
    </row>
    <row r="55" spans="1:12" s="35" customFormat="1" x14ac:dyDescent="0.25">
      <c r="A55" s="30">
        <v>2011.4</v>
      </c>
      <c r="B55" s="32">
        <v>145719.1</v>
      </c>
      <c r="C55" s="32">
        <v>0.218</v>
      </c>
      <c r="D55" s="39">
        <v>8946</v>
      </c>
      <c r="E55" s="33">
        <v>63498</v>
      </c>
      <c r="F55" s="33">
        <v>11.22</v>
      </c>
      <c r="G55" s="33">
        <v>328.4</v>
      </c>
      <c r="H55" s="33">
        <v>54762.200000000004</v>
      </c>
      <c r="I55">
        <v>2011</v>
      </c>
      <c r="J55">
        <v>4</v>
      </c>
      <c r="K55">
        <f t="shared" si="0"/>
        <v>0</v>
      </c>
      <c r="L55">
        <f t="shared" si="1"/>
        <v>-1</v>
      </c>
    </row>
    <row r="56" spans="1:12" s="35" customFormat="1" x14ac:dyDescent="0.25">
      <c r="A56" s="30">
        <v>2012.1</v>
      </c>
      <c r="B56" s="32">
        <v>153694.5</v>
      </c>
      <c r="C56" s="32">
        <v>0.219</v>
      </c>
      <c r="D56" s="39">
        <v>9015</v>
      </c>
      <c r="E56" s="33">
        <v>63604</v>
      </c>
      <c r="F56" s="33" t="s">
        <v>29</v>
      </c>
      <c r="G56" s="33" t="s">
        <v>30</v>
      </c>
      <c r="H56" s="33">
        <v>59269.440000000002</v>
      </c>
      <c r="I56">
        <v>2012</v>
      </c>
      <c r="J56">
        <v>1</v>
      </c>
      <c r="K56">
        <f t="shared" si="0"/>
        <v>1</v>
      </c>
      <c r="L56">
        <f t="shared" si="1"/>
        <v>0</v>
      </c>
    </row>
    <row r="57" spans="1:12" s="35" customFormat="1" x14ac:dyDescent="0.25">
      <c r="A57" s="30">
        <v>2012.2</v>
      </c>
      <c r="B57" s="32">
        <v>133698</v>
      </c>
      <c r="C57" s="32">
        <v>0.22600000000000001</v>
      </c>
      <c r="D57" s="39">
        <v>8995</v>
      </c>
      <c r="E57" s="33">
        <v>63711</v>
      </c>
      <c r="F57" s="33">
        <v>8.18</v>
      </c>
      <c r="G57" s="33">
        <v>230.5</v>
      </c>
      <c r="H57" s="33">
        <v>48270.380000000005</v>
      </c>
      <c r="I57">
        <v>2012</v>
      </c>
      <c r="J57">
        <v>2</v>
      </c>
      <c r="K57">
        <f t="shared" si="0"/>
        <v>0</v>
      </c>
      <c r="L57">
        <f t="shared" si="1"/>
        <v>1</v>
      </c>
    </row>
    <row r="58" spans="1:12" s="35" customFormat="1" x14ac:dyDescent="0.25">
      <c r="A58" s="30">
        <v>2012.3</v>
      </c>
      <c r="B58" s="32">
        <v>124955</v>
      </c>
      <c r="C58" s="32">
        <v>0.217</v>
      </c>
      <c r="D58" s="39">
        <v>9074</v>
      </c>
      <c r="E58" s="33">
        <v>63817</v>
      </c>
      <c r="F58" s="33">
        <v>13.9</v>
      </c>
      <c r="G58" s="33">
        <v>378.8</v>
      </c>
      <c r="H58" s="33">
        <v>43573.29</v>
      </c>
      <c r="I58">
        <v>2012</v>
      </c>
      <c r="J58">
        <v>3</v>
      </c>
      <c r="K58">
        <f t="shared" si="0"/>
        <v>-1</v>
      </c>
      <c r="L58">
        <f t="shared" si="1"/>
        <v>0</v>
      </c>
    </row>
    <row r="59" spans="1:12" s="35" customFormat="1" x14ac:dyDescent="0.25">
      <c r="A59" s="30">
        <v>2012.4</v>
      </c>
      <c r="B59" s="32">
        <v>151121.4</v>
      </c>
      <c r="C59" s="32">
        <v>0.217</v>
      </c>
      <c r="D59" s="39">
        <v>9045</v>
      </c>
      <c r="E59" s="33">
        <v>63924</v>
      </c>
      <c r="F59" s="33">
        <v>8.6</v>
      </c>
      <c r="G59" s="33">
        <v>372.5</v>
      </c>
      <c r="H59" s="33">
        <v>57502.57</v>
      </c>
      <c r="I59">
        <v>2012</v>
      </c>
      <c r="J59">
        <v>4</v>
      </c>
      <c r="K59">
        <f t="shared" si="0"/>
        <v>0</v>
      </c>
      <c r="L59">
        <f t="shared" si="1"/>
        <v>-1</v>
      </c>
    </row>
    <row r="60" spans="1:12" s="35" customFormat="1" x14ac:dyDescent="0.25">
      <c r="A60" s="30">
        <v>2013.1</v>
      </c>
      <c r="B60" s="32">
        <v>157001.70000000001</v>
      </c>
      <c r="C60" s="32">
        <v>0.217</v>
      </c>
      <c r="D60" s="39">
        <v>9054</v>
      </c>
      <c r="E60" s="33">
        <v>64031</v>
      </c>
      <c r="F60" s="33" t="s">
        <v>31</v>
      </c>
      <c r="G60" s="33" t="s">
        <v>32</v>
      </c>
      <c r="H60" s="33">
        <v>61700.779999999992</v>
      </c>
      <c r="I60">
        <v>2013</v>
      </c>
      <c r="J60">
        <v>1</v>
      </c>
      <c r="K60">
        <f t="shared" si="0"/>
        <v>1</v>
      </c>
      <c r="L60">
        <f t="shared" si="1"/>
        <v>0</v>
      </c>
    </row>
    <row r="61" spans="1:12" s="35" customFormat="1" x14ac:dyDescent="0.25">
      <c r="A61" s="30">
        <v>2013.2</v>
      </c>
      <c r="B61" s="32">
        <v>131835.29999999999</v>
      </c>
      <c r="C61" s="32">
        <v>0.215</v>
      </c>
      <c r="D61" s="39">
        <v>9099</v>
      </c>
      <c r="E61" s="33">
        <v>64138</v>
      </c>
      <c r="F61" s="33">
        <v>5.98</v>
      </c>
      <c r="G61" s="33">
        <v>219.2</v>
      </c>
      <c r="H61" s="33">
        <v>48216.319999999992</v>
      </c>
      <c r="I61">
        <v>2013</v>
      </c>
      <c r="J61">
        <v>2</v>
      </c>
      <c r="K61">
        <f t="shared" si="0"/>
        <v>0</v>
      </c>
      <c r="L61">
        <f t="shared" si="1"/>
        <v>1</v>
      </c>
    </row>
    <row r="62" spans="1:12" s="35" customFormat="1" x14ac:dyDescent="0.25">
      <c r="A62" s="30">
        <v>2013.3</v>
      </c>
      <c r="B62" s="32">
        <v>123523.4</v>
      </c>
      <c r="C62" s="32">
        <v>0.20899999999999999</v>
      </c>
      <c r="D62" s="39">
        <v>9152</v>
      </c>
      <c r="E62" s="33">
        <v>64258</v>
      </c>
      <c r="F62" s="33">
        <v>15.15</v>
      </c>
      <c r="G62" s="33">
        <v>185.8</v>
      </c>
      <c r="H62" s="33">
        <v>42745.89</v>
      </c>
      <c r="I62">
        <v>2013</v>
      </c>
      <c r="J62">
        <v>3</v>
      </c>
      <c r="K62">
        <f t="shared" si="0"/>
        <v>-1</v>
      </c>
      <c r="L62">
        <f t="shared" si="1"/>
        <v>0</v>
      </c>
    </row>
    <row r="63" spans="1:12" s="35" customFormat="1" x14ac:dyDescent="0.25">
      <c r="A63" s="30">
        <v>2013.4</v>
      </c>
      <c r="B63" s="32">
        <v>144237.5</v>
      </c>
      <c r="C63" s="32">
        <v>0.20499999999999999</v>
      </c>
      <c r="D63" s="39">
        <v>9195</v>
      </c>
      <c r="E63" s="33">
        <v>64378</v>
      </c>
      <c r="F63" s="33">
        <v>9.8000000000000007</v>
      </c>
      <c r="G63" s="33">
        <v>324.10000000000002</v>
      </c>
      <c r="H63" s="33">
        <v>54785.80000000001</v>
      </c>
      <c r="I63">
        <v>2013</v>
      </c>
      <c r="J63">
        <v>4</v>
      </c>
      <c r="K63">
        <f t="shared" si="0"/>
        <v>0</v>
      </c>
      <c r="L63">
        <f t="shared" si="1"/>
        <v>-1</v>
      </c>
    </row>
    <row r="64" spans="1:12" s="35" customFormat="1" x14ac:dyDescent="0.25">
      <c r="A64" s="30">
        <v>2014.1</v>
      </c>
      <c r="B64" s="32">
        <v>144870.79999999999</v>
      </c>
      <c r="C64" s="32">
        <v>0.19800000000000001</v>
      </c>
      <c r="D64" s="39">
        <v>9251</v>
      </c>
      <c r="E64" s="33">
        <v>64499</v>
      </c>
      <c r="F64" s="33" t="s">
        <v>33</v>
      </c>
      <c r="G64" s="33" t="s">
        <v>34</v>
      </c>
      <c r="H64" s="33">
        <v>55880.83</v>
      </c>
      <c r="I64">
        <v>2014</v>
      </c>
      <c r="J64">
        <v>1</v>
      </c>
      <c r="K64">
        <f t="shared" si="0"/>
        <v>1</v>
      </c>
      <c r="L64">
        <f t="shared" si="1"/>
        <v>0</v>
      </c>
    </row>
    <row r="65" spans="1:12" s="35" customFormat="1" x14ac:dyDescent="0.25">
      <c r="A65" s="30">
        <v>2014.2</v>
      </c>
      <c r="B65" s="32">
        <v>122695.9</v>
      </c>
      <c r="C65" s="32">
        <v>0.19700000000000001</v>
      </c>
      <c r="D65" s="39">
        <v>9321</v>
      </c>
      <c r="E65" s="33">
        <v>64619</v>
      </c>
      <c r="F65" s="33">
        <v>9.02</v>
      </c>
      <c r="G65" s="33">
        <v>246.6</v>
      </c>
      <c r="H65" s="33">
        <v>44417.7</v>
      </c>
      <c r="I65">
        <v>2014</v>
      </c>
      <c r="J65">
        <v>2</v>
      </c>
      <c r="K65">
        <f t="shared" si="0"/>
        <v>0</v>
      </c>
      <c r="L65">
        <f t="shared" si="1"/>
        <v>1</v>
      </c>
    </row>
    <row r="66" spans="1:12" s="35" customFormat="1" x14ac:dyDescent="0.25">
      <c r="A66" s="30">
        <v>2014.3</v>
      </c>
      <c r="B66" s="32">
        <v>118454.2</v>
      </c>
      <c r="C66" s="32">
        <v>0.19500000000000001</v>
      </c>
      <c r="D66" s="39">
        <v>9380</v>
      </c>
      <c r="E66" s="33">
        <v>64736</v>
      </c>
      <c r="F66" s="33">
        <v>14.8</v>
      </c>
      <c r="G66" s="33">
        <v>256.7</v>
      </c>
      <c r="H66" s="33">
        <v>41295.19</v>
      </c>
      <c r="I66">
        <v>2014</v>
      </c>
      <c r="J66">
        <v>3</v>
      </c>
      <c r="K66">
        <f t="shared" si="0"/>
        <v>-1</v>
      </c>
      <c r="L66">
        <f t="shared" si="1"/>
        <v>0</v>
      </c>
    </row>
    <row r="67" spans="1:12" s="35" customFormat="1" x14ac:dyDescent="0.25">
      <c r="A67" s="30">
        <v>2014.4</v>
      </c>
      <c r="B67" s="32">
        <v>138185.29999999999</v>
      </c>
      <c r="C67" s="32">
        <v>0.189</v>
      </c>
      <c r="D67" s="39">
        <v>9425</v>
      </c>
      <c r="E67" s="33">
        <v>64853</v>
      </c>
      <c r="F67" s="33">
        <v>10.84</v>
      </c>
      <c r="G67" s="33">
        <v>303</v>
      </c>
      <c r="H67" s="33">
        <v>52777.05</v>
      </c>
      <c r="I67">
        <v>2014</v>
      </c>
      <c r="J67">
        <v>4</v>
      </c>
      <c r="K67">
        <f t="shared" si="0"/>
        <v>0</v>
      </c>
      <c r="L67">
        <f t="shared" si="1"/>
        <v>-1</v>
      </c>
    </row>
    <row r="68" spans="1:12" s="35" customFormat="1" x14ac:dyDescent="0.25">
      <c r="A68" s="30">
        <v>2015.1</v>
      </c>
      <c r="B68" s="32">
        <v>146901.6</v>
      </c>
      <c r="C68" s="32">
        <v>0.19400000000000001</v>
      </c>
      <c r="D68" s="39">
        <v>9436</v>
      </c>
      <c r="E68" s="33">
        <v>64970</v>
      </c>
      <c r="F68" s="33" t="s">
        <v>35</v>
      </c>
      <c r="G68" s="33" t="s">
        <v>36</v>
      </c>
      <c r="H68" s="33">
        <v>58314.700000000004</v>
      </c>
      <c r="I68">
        <v>2015</v>
      </c>
      <c r="J68">
        <v>1</v>
      </c>
      <c r="K68">
        <f t="shared" si="0"/>
        <v>1</v>
      </c>
      <c r="L68">
        <f t="shared" si="1"/>
        <v>0</v>
      </c>
    </row>
    <row r="69" spans="1:12" s="35" customFormat="1" x14ac:dyDescent="0.25">
      <c r="A69" s="30">
        <v>2015.2</v>
      </c>
      <c r="B69" s="32">
        <v>119350.5</v>
      </c>
      <c r="C69" s="32">
        <v>0.184</v>
      </c>
      <c r="D69" s="39">
        <v>9462</v>
      </c>
      <c r="E69" s="33">
        <v>65087</v>
      </c>
      <c r="F69" s="33">
        <v>7.66</v>
      </c>
      <c r="G69" s="33">
        <v>250.1</v>
      </c>
      <c r="H69" s="33">
        <v>44827.62999999999</v>
      </c>
      <c r="I69">
        <v>2015</v>
      </c>
      <c r="J69">
        <v>2</v>
      </c>
      <c r="K69">
        <f t="shared" ref="K69:K108" si="2">ROUND(COS(2*PI()*(J69-1)/4),12)</f>
        <v>0</v>
      </c>
      <c r="L69">
        <f t="shared" ref="L69:L108" si="3">ROUND(SIN(2*PI()*(J69-1)/4),12)</f>
        <v>1</v>
      </c>
    </row>
    <row r="70" spans="1:12" s="35" customFormat="1" x14ac:dyDescent="0.25">
      <c r="A70" s="30">
        <v>2015.3</v>
      </c>
      <c r="B70" s="32">
        <v>115882.1</v>
      </c>
      <c r="C70" s="32">
        <v>0.183</v>
      </c>
      <c r="D70" s="39">
        <v>9480</v>
      </c>
      <c r="E70" s="33">
        <v>65217</v>
      </c>
      <c r="F70" s="33">
        <v>13.91</v>
      </c>
      <c r="G70" s="33">
        <v>268.39999999999998</v>
      </c>
      <c r="H70" s="33">
        <v>41028.610000000008</v>
      </c>
      <c r="I70">
        <v>2015</v>
      </c>
      <c r="J70">
        <v>3</v>
      </c>
      <c r="K70">
        <f t="shared" si="2"/>
        <v>-1</v>
      </c>
      <c r="L70">
        <f t="shared" si="3"/>
        <v>0</v>
      </c>
    </row>
    <row r="71" spans="1:12" s="35" customFormat="1" x14ac:dyDescent="0.25">
      <c r="A71" s="30">
        <v>2015.4</v>
      </c>
      <c r="B71" s="32">
        <v>130309.2</v>
      </c>
      <c r="C71" s="32">
        <v>0.17399999999999999</v>
      </c>
      <c r="D71" s="39">
        <v>9518</v>
      </c>
      <c r="E71" s="33">
        <v>65346</v>
      </c>
      <c r="F71" s="33">
        <v>9.99</v>
      </c>
      <c r="G71" s="33">
        <v>295.89999999999998</v>
      </c>
      <c r="H71" s="33">
        <v>50535.81</v>
      </c>
      <c r="I71">
        <v>2015</v>
      </c>
      <c r="J71">
        <v>4</v>
      </c>
      <c r="K71">
        <f t="shared" si="2"/>
        <v>0</v>
      </c>
      <c r="L71">
        <f t="shared" si="3"/>
        <v>-1</v>
      </c>
    </row>
    <row r="72" spans="1:12" s="35" customFormat="1" x14ac:dyDescent="0.25">
      <c r="A72" s="30">
        <v>2016.1</v>
      </c>
      <c r="B72" s="32">
        <v>137066.6</v>
      </c>
      <c r="C72" s="32">
        <v>0.17399999999999999</v>
      </c>
      <c r="D72" s="39">
        <v>9547</v>
      </c>
      <c r="E72" s="33">
        <v>65476</v>
      </c>
      <c r="F72" s="33" t="s">
        <v>37</v>
      </c>
      <c r="G72" s="33" t="s">
        <v>38</v>
      </c>
      <c r="H72" s="33">
        <v>54876.94</v>
      </c>
      <c r="I72">
        <v>2016</v>
      </c>
      <c r="J72">
        <v>1</v>
      </c>
      <c r="K72">
        <f t="shared" si="2"/>
        <v>1</v>
      </c>
      <c r="L72">
        <f t="shared" si="3"/>
        <v>0</v>
      </c>
    </row>
    <row r="73" spans="1:12" s="35" customFormat="1" x14ac:dyDescent="0.25">
      <c r="A73" s="30">
        <v>2016.2</v>
      </c>
      <c r="B73" s="32">
        <v>115380.5</v>
      </c>
      <c r="C73" s="32">
        <v>0.17100000000000001</v>
      </c>
      <c r="D73" s="39">
        <v>9598</v>
      </c>
      <c r="E73" s="33">
        <v>65606</v>
      </c>
      <c r="F73" s="33">
        <v>7.69</v>
      </c>
      <c r="G73" s="33">
        <v>222.6</v>
      </c>
      <c r="H73" s="33">
        <v>44057.81</v>
      </c>
      <c r="I73">
        <v>2016</v>
      </c>
      <c r="J73">
        <v>2</v>
      </c>
      <c r="K73">
        <f t="shared" si="2"/>
        <v>0</v>
      </c>
      <c r="L73">
        <f t="shared" si="3"/>
        <v>1</v>
      </c>
    </row>
    <row r="74" spans="1:12" s="35" customFormat="1" x14ac:dyDescent="0.25">
      <c r="A74" s="30">
        <v>2016.3</v>
      </c>
      <c r="B74" s="32">
        <v>109068.6</v>
      </c>
      <c r="C74" s="32">
        <v>0.16700000000000001</v>
      </c>
      <c r="D74" s="39">
        <v>9627</v>
      </c>
      <c r="E74" s="33">
        <v>65695</v>
      </c>
      <c r="F74" s="33">
        <v>14.89</v>
      </c>
      <c r="G74" s="33">
        <v>259.7</v>
      </c>
      <c r="H74" s="33">
        <v>39626.81</v>
      </c>
      <c r="I74">
        <v>2016</v>
      </c>
      <c r="J74">
        <v>3</v>
      </c>
      <c r="K74">
        <f t="shared" si="2"/>
        <v>-1</v>
      </c>
      <c r="L74">
        <f t="shared" si="3"/>
        <v>0</v>
      </c>
    </row>
    <row r="75" spans="1:12" s="35" customFormat="1" x14ac:dyDescent="0.25">
      <c r="A75" s="30">
        <v>2016.4</v>
      </c>
      <c r="B75" s="32">
        <v>131542.1</v>
      </c>
      <c r="C75" s="32">
        <v>0.16800000000000001</v>
      </c>
      <c r="D75" s="39">
        <v>9674</v>
      </c>
      <c r="E75" s="33">
        <v>65785</v>
      </c>
      <c r="F75" s="33">
        <v>9.75</v>
      </c>
      <c r="G75" s="33">
        <v>248.1</v>
      </c>
      <c r="H75" s="33">
        <v>52846.239999999998</v>
      </c>
      <c r="I75">
        <v>2016</v>
      </c>
      <c r="J75">
        <v>4</v>
      </c>
      <c r="K75">
        <f t="shared" si="2"/>
        <v>0</v>
      </c>
      <c r="L75">
        <f t="shared" si="3"/>
        <v>-1</v>
      </c>
    </row>
    <row r="76" spans="1:12" s="35" customFormat="1" x14ac:dyDescent="0.25">
      <c r="A76" s="30">
        <v>2017.1</v>
      </c>
      <c r="B76" s="32">
        <v>133776.79999999999</v>
      </c>
      <c r="C76" s="32">
        <v>0.16400000000000001</v>
      </c>
      <c r="D76" s="39">
        <v>9753</v>
      </c>
      <c r="E76" s="33">
        <v>65875</v>
      </c>
      <c r="F76" s="33" t="s">
        <v>39</v>
      </c>
      <c r="G76" s="33" t="s">
        <v>40</v>
      </c>
      <c r="H76" s="33">
        <v>54587.029999999984</v>
      </c>
      <c r="I76">
        <v>2017</v>
      </c>
      <c r="J76">
        <v>1</v>
      </c>
      <c r="K76">
        <f t="shared" si="2"/>
        <v>1</v>
      </c>
      <c r="L76">
        <f t="shared" si="3"/>
        <v>0</v>
      </c>
    </row>
    <row r="77" spans="1:12" s="35" customFormat="1" x14ac:dyDescent="0.25">
      <c r="A77" s="30">
        <v>2017.2</v>
      </c>
      <c r="B77" s="32">
        <v>109979.3</v>
      </c>
      <c r="C77" s="32">
        <v>0.157</v>
      </c>
      <c r="D77" s="39">
        <v>9823</v>
      </c>
      <c r="E77" s="33">
        <v>65964</v>
      </c>
      <c r="F77" s="33">
        <v>9.1199999999999992</v>
      </c>
      <c r="G77" s="33">
        <v>188.1</v>
      </c>
      <c r="H77" s="33">
        <v>43059.270000000004</v>
      </c>
      <c r="I77">
        <v>2017</v>
      </c>
      <c r="J77">
        <v>2</v>
      </c>
      <c r="K77">
        <f t="shared" si="2"/>
        <v>0</v>
      </c>
      <c r="L77">
        <f t="shared" si="3"/>
        <v>1</v>
      </c>
    </row>
    <row r="78" spans="1:12" s="35" customFormat="1" x14ac:dyDescent="0.25">
      <c r="A78" s="30">
        <v>2017.3</v>
      </c>
      <c r="B78" s="32">
        <v>107668.2</v>
      </c>
      <c r="C78" s="32">
        <v>0.156</v>
      </c>
      <c r="D78" s="39">
        <v>9877</v>
      </c>
      <c r="E78" s="33">
        <v>66045</v>
      </c>
      <c r="F78" s="33">
        <v>14.7</v>
      </c>
      <c r="G78" s="33">
        <v>313.89999999999998</v>
      </c>
      <c r="H78" s="33">
        <v>40622.060000000005</v>
      </c>
      <c r="I78">
        <v>2017</v>
      </c>
      <c r="J78">
        <v>3</v>
      </c>
      <c r="K78">
        <f t="shared" si="2"/>
        <v>-1</v>
      </c>
      <c r="L78">
        <f t="shared" si="3"/>
        <v>0</v>
      </c>
    </row>
    <row r="79" spans="1:12" s="35" customFormat="1" x14ac:dyDescent="0.25">
      <c r="A79" s="30">
        <v>2017.4</v>
      </c>
      <c r="B79" s="32">
        <v>128134.9</v>
      </c>
      <c r="C79" s="32">
        <v>0.158</v>
      </c>
      <c r="D79" s="39">
        <v>9939</v>
      </c>
      <c r="E79" s="33">
        <v>66126</v>
      </c>
      <c r="F79" s="33">
        <v>9.84</v>
      </c>
      <c r="G79" s="33">
        <v>326.2</v>
      </c>
      <c r="H79" s="33">
        <v>52427.94</v>
      </c>
      <c r="I79">
        <v>2017</v>
      </c>
      <c r="J79">
        <v>4</v>
      </c>
      <c r="K79">
        <f t="shared" si="2"/>
        <v>0</v>
      </c>
      <c r="L79">
        <f t="shared" si="3"/>
        <v>-1</v>
      </c>
    </row>
    <row r="80" spans="1:12" s="35" customFormat="1" x14ac:dyDescent="0.25">
      <c r="A80" s="30">
        <v>2018.1</v>
      </c>
      <c r="B80" s="32">
        <v>134121.9</v>
      </c>
      <c r="C80" s="32">
        <v>0.159</v>
      </c>
      <c r="D80" s="39">
        <v>9935</v>
      </c>
      <c r="E80" s="33">
        <v>66206</v>
      </c>
      <c r="F80" s="33" t="s">
        <v>41</v>
      </c>
      <c r="G80" s="33" t="s">
        <v>42</v>
      </c>
      <c r="H80" s="33">
        <v>56900.950000000012</v>
      </c>
      <c r="I80">
        <v>2018</v>
      </c>
      <c r="J80">
        <v>1</v>
      </c>
      <c r="K80">
        <f t="shared" si="2"/>
        <v>1</v>
      </c>
      <c r="L80">
        <f t="shared" si="3"/>
        <v>0</v>
      </c>
    </row>
    <row r="81" spans="1:12" s="35" customFormat="1" x14ac:dyDescent="0.25">
      <c r="A81" s="30">
        <v>2018.2</v>
      </c>
      <c r="B81" s="32">
        <v>110743.7</v>
      </c>
      <c r="C81" s="32">
        <v>0.157</v>
      </c>
      <c r="D81" s="39">
        <v>9944</v>
      </c>
      <c r="E81" s="33">
        <v>66287</v>
      </c>
      <c r="F81" s="33">
        <v>8.08</v>
      </c>
      <c r="G81" s="33">
        <v>235.4</v>
      </c>
      <c r="H81" s="33">
        <v>42676.31</v>
      </c>
      <c r="I81">
        <v>2018</v>
      </c>
      <c r="J81">
        <v>2</v>
      </c>
      <c r="K81">
        <f t="shared" si="2"/>
        <v>0</v>
      </c>
      <c r="L81">
        <f t="shared" si="3"/>
        <v>1</v>
      </c>
    </row>
    <row r="82" spans="1:12" s="35" customFormat="1" x14ac:dyDescent="0.25">
      <c r="A82" s="30">
        <v>2018.3</v>
      </c>
      <c r="B82" s="32">
        <v>109326</v>
      </c>
      <c r="C82" s="32">
        <v>0.157</v>
      </c>
      <c r="D82" s="39">
        <v>9963</v>
      </c>
      <c r="E82" s="33">
        <v>66372</v>
      </c>
      <c r="F82" s="33">
        <v>15.76</v>
      </c>
      <c r="G82" s="33">
        <v>171.9</v>
      </c>
      <c r="H82" s="33">
        <v>40169.660000000003</v>
      </c>
      <c r="I82">
        <v>2018</v>
      </c>
      <c r="J82">
        <v>3</v>
      </c>
      <c r="K82">
        <f t="shared" si="2"/>
        <v>-1</v>
      </c>
      <c r="L82">
        <f t="shared" si="3"/>
        <v>0</v>
      </c>
    </row>
    <row r="83" spans="1:12" s="35" customFormat="1" x14ac:dyDescent="0.25">
      <c r="A83" s="30">
        <v>2018.4</v>
      </c>
      <c r="B83" s="32">
        <v>126890.4</v>
      </c>
      <c r="C83" s="32">
        <v>0.154</v>
      </c>
      <c r="D83" s="39">
        <v>9963</v>
      </c>
      <c r="E83" s="33">
        <v>66457</v>
      </c>
      <c r="F83" s="33">
        <v>9.73</v>
      </c>
      <c r="G83" s="33">
        <v>327.2</v>
      </c>
      <c r="H83" s="33">
        <v>50779.579999999994</v>
      </c>
      <c r="I83">
        <v>2018</v>
      </c>
      <c r="J83">
        <v>4</v>
      </c>
      <c r="K83">
        <f t="shared" si="2"/>
        <v>0</v>
      </c>
      <c r="L83">
        <f t="shared" si="3"/>
        <v>-1</v>
      </c>
    </row>
    <row r="84" spans="1:12" s="35" customFormat="1" x14ac:dyDescent="0.25">
      <c r="A84" s="30">
        <v>2019.1</v>
      </c>
      <c r="B84" s="32">
        <v>127059.8</v>
      </c>
      <c r="C84" s="32">
        <v>0.151</v>
      </c>
      <c r="D84" s="39">
        <v>10001</v>
      </c>
      <c r="E84" s="33">
        <v>66542</v>
      </c>
      <c r="F84" s="33" t="s">
        <v>43</v>
      </c>
      <c r="G84" s="33" t="s">
        <v>44</v>
      </c>
      <c r="H84" s="33">
        <v>52065.060000000005</v>
      </c>
      <c r="I84">
        <v>2019</v>
      </c>
      <c r="J84">
        <v>1</v>
      </c>
      <c r="K84">
        <f t="shared" si="2"/>
        <v>1</v>
      </c>
      <c r="L84">
        <f t="shared" si="3"/>
        <v>0</v>
      </c>
    </row>
    <row r="85" spans="1:12" s="35" customFormat="1" x14ac:dyDescent="0.25">
      <c r="A85" s="30">
        <v>2019.2</v>
      </c>
      <c r="B85" s="32">
        <v>110591.6</v>
      </c>
      <c r="C85" s="32">
        <v>0.152</v>
      </c>
      <c r="D85" s="39">
        <v>10009</v>
      </c>
      <c r="E85" s="33">
        <v>66628</v>
      </c>
      <c r="F85" s="33">
        <v>8.3800000000000008</v>
      </c>
      <c r="G85" s="33">
        <v>241.1</v>
      </c>
      <c r="H85" s="33">
        <v>42579.429999999993</v>
      </c>
      <c r="I85">
        <v>2019</v>
      </c>
      <c r="J85">
        <v>2</v>
      </c>
      <c r="K85">
        <f t="shared" si="2"/>
        <v>0</v>
      </c>
      <c r="L85">
        <f t="shared" si="3"/>
        <v>1</v>
      </c>
    </row>
    <row r="86" spans="1:12" s="35" customFormat="1" x14ac:dyDescent="0.25">
      <c r="A86" s="30">
        <v>2019.3</v>
      </c>
      <c r="B86" s="32">
        <v>104422.2</v>
      </c>
      <c r="C86" s="32">
        <v>0.14599999999999999</v>
      </c>
      <c r="D86" s="39">
        <v>10060</v>
      </c>
      <c r="E86" s="33">
        <v>66656</v>
      </c>
      <c r="F86" s="33">
        <v>15.14</v>
      </c>
      <c r="G86" s="33">
        <v>330.7</v>
      </c>
      <c r="H86" s="33">
        <v>37888.330000000009</v>
      </c>
      <c r="I86">
        <v>2019</v>
      </c>
      <c r="J86">
        <v>3</v>
      </c>
      <c r="K86">
        <f t="shared" si="2"/>
        <v>-1</v>
      </c>
      <c r="L86">
        <f t="shared" si="3"/>
        <v>0</v>
      </c>
    </row>
    <row r="87" spans="1:12" s="35" customFormat="1" x14ac:dyDescent="0.25">
      <c r="A87" s="30">
        <v>2019.4</v>
      </c>
      <c r="B87" s="32">
        <v>124236.2</v>
      </c>
      <c r="C87" s="32">
        <v>0.14499999999999999</v>
      </c>
      <c r="D87" s="39">
        <v>10056</v>
      </c>
      <c r="E87" s="33">
        <v>66684</v>
      </c>
      <c r="F87" s="33">
        <v>9.1</v>
      </c>
      <c r="G87" s="33">
        <v>384.9</v>
      </c>
      <c r="H87" s="33">
        <v>51333.07</v>
      </c>
      <c r="I87">
        <v>2019</v>
      </c>
      <c r="J87">
        <v>4</v>
      </c>
      <c r="K87">
        <f t="shared" si="2"/>
        <v>0</v>
      </c>
      <c r="L87">
        <f t="shared" si="3"/>
        <v>-1</v>
      </c>
    </row>
    <row r="88" spans="1:12" s="35" customFormat="1" x14ac:dyDescent="0.25">
      <c r="A88" s="30">
        <v>2020.1</v>
      </c>
      <c r="B88" s="32">
        <v>123325</v>
      </c>
      <c r="C88" s="32">
        <v>0.14899999999999999</v>
      </c>
      <c r="D88" s="39">
        <v>9776</v>
      </c>
      <c r="E88" s="33">
        <v>66712</v>
      </c>
      <c r="F88" s="33" t="s">
        <v>45</v>
      </c>
      <c r="G88" s="33" t="s">
        <v>46</v>
      </c>
      <c r="H88" s="33">
        <v>51626.310000000005</v>
      </c>
      <c r="I88">
        <v>2020</v>
      </c>
      <c r="J88">
        <v>1</v>
      </c>
      <c r="K88">
        <f t="shared" si="2"/>
        <v>1</v>
      </c>
      <c r="L88">
        <f t="shared" si="3"/>
        <v>0</v>
      </c>
    </row>
    <row r="89" spans="1:12" s="35" customFormat="1" x14ac:dyDescent="0.25">
      <c r="A89" s="30">
        <v>2020.2</v>
      </c>
      <c r="B89" s="32">
        <v>86119.7</v>
      </c>
      <c r="C89" s="32">
        <v>0.14799999999999999</v>
      </c>
      <c r="D89" s="39">
        <v>7827</v>
      </c>
      <c r="E89" s="33">
        <v>66740</v>
      </c>
      <c r="F89" s="33">
        <v>8.68</v>
      </c>
      <c r="G89" s="33">
        <v>141.4</v>
      </c>
      <c r="H89" s="33">
        <v>31679.989999999991</v>
      </c>
      <c r="I89">
        <v>2020</v>
      </c>
      <c r="J89">
        <v>2</v>
      </c>
      <c r="K89">
        <f t="shared" si="2"/>
        <v>0</v>
      </c>
      <c r="L89">
        <f t="shared" si="3"/>
        <v>1</v>
      </c>
    </row>
    <row r="90" spans="1:12" s="35" customFormat="1" x14ac:dyDescent="0.25">
      <c r="A90" s="30">
        <v>2020.3</v>
      </c>
      <c r="B90" s="32">
        <v>93837</v>
      </c>
      <c r="C90" s="32">
        <v>0.14199999999999999</v>
      </c>
      <c r="D90" s="39">
        <v>9146</v>
      </c>
      <c r="E90" s="33">
        <v>66799</v>
      </c>
      <c r="F90" s="33">
        <v>14.76</v>
      </c>
      <c r="G90" s="33">
        <v>325.5</v>
      </c>
      <c r="H90" s="33">
        <v>34444.149999999994</v>
      </c>
      <c r="I90">
        <v>2020</v>
      </c>
      <c r="J90">
        <v>3</v>
      </c>
      <c r="K90">
        <f t="shared" si="2"/>
        <v>-1</v>
      </c>
      <c r="L90">
        <f t="shared" si="3"/>
        <v>0</v>
      </c>
    </row>
    <row r="91" spans="1:12" s="35" customFormat="1" x14ac:dyDescent="0.25">
      <c r="A91" s="30">
        <v>2020.4</v>
      </c>
      <c r="B91" s="32">
        <v>110871.5</v>
      </c>
      <c r="C91" s="32">
        <v>0.13900000000000001</v>
      </c>
      <c r="D91" s="39">
        <v>9263</v>
      </c>
      <c r="E91" s="33">
        <v>66859</v>
      </c>
      <c r="F91" s="33">
        <v>9.98</v>
      </c>
      <c r="G91" s="33">
        <v>365</v>
      </c>
      <c r="H91" s="33">
        <v>46943.229999999996</v>
      </c>
      <c r="I91">
        <v>2020</v>
      </c>
      <c r="J91">
        <v>4</v>
      </c>
      <c r="K91">
        <f t="shared" si="2"/>
        <v>0</v>
      </c>
      <c r="L91">
        <f t="shared" si="3"/>
        <v>-1</v>
      </c>
    </row>
    <row r="92" spans="1:12" s="35" customFormat="1" x14ac:dyDescent="0.25">
      <c r="A92" s="30">
        <v>2021.1</v>
      </c>
      <c r="B92" s="32">
        <v>113041.5</v>
      </c>
      <c r="C92" s="32">
        <v>0.14000000000000001</v>
      </c>
      <c r="D92" s="39">
        <v>9155</v>
      </c>
      <c r="E92" s="33">
        <v>66918</v>
      </c>
      <c r="F92" s="33" t="s">
        <v>7</v>
      </c>
      <c r="G92" s="33">
        <v>412.4</v>
      </c>
      <c r="H92" s="33">
        <v>48792.14</v>
      </c>
      <c r="I92">
        <v>2021</v>
      </c>
      <c r="J92">
        <v>1</v>
      </c>
      <c r="K92">
        <f t="shared" si="2"/>
        <v>1</v>
      </c>
      <c r="L92">
        <f t="shared" si="3"/>
        <v>0</v>
      </c>
    </row>
    <row r="93" spans="1:12" s="35" customFormat="1" x14ac:dyDescent="0.25">
      <c r="A93" s="30">
        <v>2021.2</v>
      </c>
      <c r="B93" s="32">
        <v>98231.6</v>
      </c>
      <c r="C93" s="32">
        <v>0.13200000000000001</v>
      </c>
      <c r="D93" s="39">
        <v>9786</v>
      </c>
      <c r="E93" s="33">
        <v>66978</v>
      </c>
      <c r="F93" s="33">
        <v>7.07</v>
      </c>
      <c r="G93" s="33">
        <v>228.4</v>
      </c>
      <c r="H93" s="33">
        <v>39508.860000000008</v>
      </c>
      <c r="I93">
        <v>2021</v>
      </c>
      <c r="J93">
        <v>2</v>
      </c>
      <c r="K93">
        <f t="shared" si="2"/>
        <v>0</v>
      </c>
      <c r="L93">
        <f t="shared" si="3"/>
        <v>1</v>
      </c>
    </row>
    <row r="94" spans="1:12" s="35" customFormat="1" x14ac:dyDescent="0.25">
      <c r="A94" s="30">
        <v>2021.3</v>
      </c>
      <c r="B94" s="32">
        <v>96688.7</v>
      </c>
      <c r="C94" s="32">
        <v>0.13200000000000001</v>
      </c>
      <c r="D94" s="39">
        <v>9927</v>
      </c>
      <c r="E94" s="33">
        <v>67143</v>
      </c>
      <c r="F94" s="33">
        <v>15.28</v>
      </c>
      <c r="G94" s="33">
        <v>186.1</v>
      </c>
      <c r="H94" s="33">
        <v>35134.159999999996</v>
      </c>
      <c r="I94">
        <v>2021</v>
      </c>
      <c r="J94">
        <v>3</v>
      </c>
      <c r="K94">
        <f t="shared" si="2"/>
        <v>-1</v>
      </c>
      <c r="L94">
        <f t="shared" si="3"/>
        <v>0</v>
      </c>
    </row>
    <row r="95" spans="1:12" s="35" customFormat="1" x14ac:dyDescent="0.25">
      <c r="A95" s="30">
        <v>2021.4</v>
      </c>
      <c r="B95" s="32">
        <v>116881.60000000001</v>
      </c>
      <c r="C95" s="32">
        <v>0.13600000000000001</v>
      </c>
      <c r="D95" s="39">
        <v>10039</v>
      </c>
      <c r="E95" s="33">
        <v>67307</v>
      </c>
      <c r="F95" s="33">
        <v>10.84</v>
      </c>
      <c r="G95" s="33">
        <v>331.4</v>
      </c>
      <c r="H95" s="33">
        <v>47433.91</v>
      </c>
      <c r="I95">
        <v>2021</v>
      </c>
      <c r="J95">
        <v>4</v>
      </c>
      <c r="K95">
        <f t="shared" si="2"/>
        <v>0</v>
      </c>
      <c r="L95">
        <f t="shared" si="3"/>
        <v>-1</v>
      </c>
    </row>
    <row r="96" spans="1:12" s="35" customFormat="1" x14ac:dyDescent="0.25">
      <c r="A96" s="30">
        <v>2022.1</v>
      </c>
      <c r="B96" s="32">
        <v>112725.3</v>
      </c>
      <c r="C96" s="32">
        <v>0.13</v>
      </c>
      <c r="D96" s="39">
        <v>10116</v>
      </c>
      <c r="E96" s="33">
        <v>67472</v>
      </c>
      <c r="F96" s="33" t="s">
        <v>47</v>
      </c>
      <c r="G96" s="33">
        <v>329.8</v>
      </c>
      <c r="H96" s="33">
        <v>48539.18</v>
      </c>
      <c r="I96">
        <v>2022</v>
      </c>
      <c r="J96">
        <v>1</v>
      </c>
      <c r="K96">
        <f t="shared" si="2"/>
        <v>1</v>
      </c>
      <c r="L96">
        <f t="shared" si="3"/>
        <v>0</v>
      </c>
    </row>
    <row r="97" spans="1:12" s="35" customFormat="1" x14ac:dyDescent="0.25">
      <c r="A97" s="30">
        <v>2022.2</v>
      </c>
      <c r="B97" s="32">
        <v>100675.4</v>
      </c>
      <c r="C97" s="32">
        <v>0.13500000000000001</v>
      </c>
      <c r="D97" s="39">
        <v>10147</v>
      </c>
      <c r="E97" s="33">
        <v>67636</v>
      </c>
      <c r="F97" s="33">
        <v>8.8699999999999992</v>
      </c>
      <c r="G97" s="33">
        <v>177.1</v>
      </c>
      <c r="H97" s="33">
        <v>39047.979999999989</v>
      </c>
      <c r="I97">
        <v>2022</v>
      </c>
      <c r="J97">
        <v>2</v>
      </c>
      <c r="K97">
        <f t="shared" si="2"/>
        <v>0</v>
      </c>
      <c r="L97">
        <f t="shared" si="3"/>
        <v>1</v>
      </c>
    </row>
    <row r="98" spans="1:12" s="35" customFormat="1" x14ac:dyDescent="0.25">
      <c r="A98" s="30">
        <v>2022.3</v>
      </c>
      <c r="B98" s="32">
        <v>100142.1</v>
      </c>
      <c r="C98" s="32">
        <v>0.13700000000000001</v>
      </c>
      <c r="D98" s="39">
        <v>10124</v>
      </c>
      <c r="E98" s="33">
        <v>67859</v>
      </c>
      <c r="F98" s="33">
        <v>15.71</v>
      </c>
      <c r="G98" s="33">
        <v>161.6</v>
      </c>
      <c r="H98" s="33">
        <v>36275.64</v>
      </c>
      <c r="I98">
        <v>2022</v>
      </c>
      <c r="J98">
        <v>3</v>
      </c>
      <c r="K98">
        <f t="shared" si="2"/>
        <v>-1</v>
      </c>
      <c r="L98">
        <f t="shared" si="3"/>
        <v>0</v>
      </c>
    </row>
    <row r="99" spans="1:12" s="35" customFormat="1" x14ac:dyDescent="0.25">
      <c r="A99" s="30">
        <v>2022.4</v>
      </c>
      <c r="B99" s="32">
        <v>109987.9</v>
      </c>
      <c r="C99" s="32">
        <v>0.13100000000000001</v>
      </c>
      <c r="D99" s="39">
        <v>10118</v>
      </c>
      <c r="E99" s="33">
        <v>68081</v>
      </c>
      <c r="F99" s="33">
        <v>11.05</v>
      </c>
      <c r="G99" s="33">
        <v>419.6</v>
      </c>
      <c r="H99" s="33">
        <v>44754.7</v>
      </c>
      <c r="I99">
        <v>2022</v>
      </c>
      <c r="J99">
        <v>4</v>
      </c>
      <c r="K99">
        <f t="shared" si="2"/>
        <v>0</v>
      </c>
      <c r="L99">
        <f t="shared" si="3"/>
        <v>-1</v>
      </c>
    </row>
    <row r="100" spans="1:12" s="35" customFormat="1" x14ac:dyDescent="0.25">
      <c r="A100" s="30">
        <v>2023.1</v>
      </c>
      <c r="B100" s="32">
        <v>109706.9</v>
      </c>
      <c r="C100" s="32">
        <v>0.126</v>
      </c>
      <c r="D100" s="39">
        <v>10090</v>
      </c>
      <c r="E100" s="33">
        <v>68304</v>
      </c>
      <c r="F100" s="33" t="s">
        <v>13</v>
      </c>
      <c r="G100" s="33">
        <v>292.8</v>
      </c>
      <c r="H100" s="33">
        <v>47447.89</v>
      </c>
      <c r="I100">
        <v>2023</v>
      </c>
      <c r="J100">
        <v>1</v>
      </c>
      <c r="K100">
        <f t="shared" si="2"/>
        <v>1</v>
      </c>
      <c r="L100">
        <f t="shared" si="3"/>
        <v>0</v>
      </c>
    </row>
    <row r="101" spans="1:12" s="35" customFormat="1" x14ac:dyDescent="0.25">
      <c r="A101" s="30">
        <v>2023.2</v>
      </c>
      <c r="B101" s="32">
        <v>95012.5</v>
      </c>
      <c r="C101" s="32">
        <v>0.126</v>
      </c>
      <c r="D101" s="39">
        <v>10062</v>
      </c>
      <c r="E101" s="33">
        <v>68526</v>
      </c>
      <c r="F101" s="33">
        <v>8.3699999999999992</v>
      </c>
      <c r="G101" s="33">
        <v>247.5</v>
      </c>
      <c r="H101" s="33">
        <v>37492.289999999994</v>
      </c>
      <c r="I101">
        <v>2023</v>
      </c>
      <c r="J101">
        <v>2</v>
      </c>
      <c r="K101">
        <f t="shared" si="2"/>
        <v>0</v>
      </c>
      <c r="L101">
        <f t="shared" si="3"/>
        <v>1</v>
      </c>
    </row>
    <row r="102" spans="1:12" s="35" customFormat="1" x14ac:dyDescent="0.25">
      <c r="A102" s="30">
        <v>2023.3</v>
      </c>
      <c r="B102" s="32">
        <v>92715.5</v>
      </c>
      <c r="C102" s="32">
        <v>0.126</v>
      </c>
      <c r="D102" s="39">
        <v>10010</v>
      </c>
      <c r="E102" s="33">
        <v>68715</v>
      </c>
      <c r="F102" s="33">
        <v>15.36</v>
      </c>
      <c r="G102" s="33">
        <v>286.3</v>
      </c>
      <c r="H102" s="33">
        <v>34361.360000000001</v>
      </c>
      <c r="I102">
        <v>2023</v>
      </c>
      <c r="J102">
        <v>3</v>
      </c>
      <c r="K102">
        <f t="shared" si="2"/>
        <v>-1</v>
      </c>
      <c r="L102">
        <f t="shared" si="3"/>
        <v>0</v>
      </c>
    </row>
    <row r="103" spans="1:12" s="35" customFormat="1" x14ac:dyDescent="0.25">
      <c r="A103" s="30">
        <v>2023.4</v>
      </c>
      <c r="B103" s="32">
        <v>106259.4</v>
      </c>
      <c r="C103" s="32">
        <v>0.124</v>
      </c>
      <c r="D103" s="39">
        <v>9950</v>
      </c>
      <c r="E103" s="33">
        <v>68904</v>
      </c>
      <c r="F103" s="33">
        <v>10.74</v>
      </c>
      <c r="G103" s="33">
        <v>420.4</v>
      </c>
      <c r="H103" s="33">
        <v>44497.130000000005</v>
      </c>
      <c r="I103">
        <v>2023</v>
      </c>
      <c r="J103">
        <v>4</v>
      </c>
      <c r="K103">
        <f t="shared" si="2"/>
        <v>0</v>
      </c>
      <c r="L103">
        <f t="shared" si="3"/>
        <v>-1</v>
      </c>
    </row>
    <row r="104" spans="1:12" s="35" customFormat="1" ht="16.5" customHeight="1" x14ac:dyDescent="0.25">
      <c r="A104" s="30">
        <v>2024.1</v>
      </c>
      <c r="B104" s="32">
        <v>114491.9</v>
      </c>
      <c r="C104" s="32">
        <v>0.13100000000000001</v>
      </c>
      <c r="D104" s="39">
        <v>10007</v>
      </c>
      <c r="E104" s="33">
        <v>69093</v>
      </c>
      <c r="F104" s="33">
        <v>5.29</v>
      </c>
      <c r="G104" s="33">
        <v>461</v>
      </c>
      <c r="H104" s="33">
        <v>46648.259999999995</v>
      </c>
      <c r="I104">
        <v>2024</v>
      </c>
      <c r="J104">
        <v>1</v>
      </c>
      <c r="K104">
        <f t="shared" si="2"/>
        <v>1</v>
      </c>
      <c r="L104">
        <f t="shared" si="3"/>
        <v>0</v>
      </c>
    </row>
    <row r="105" spans="1:12" s="35" customFormat="1" x14ac:dyDescent="0.25">
      <c r="A105" s="30">
        <v>2024.2</v>
      </c>
      <c r="B105" s="32">
        <v>98590</v>
      </c>
      <c r="C105" s="32">
        <v>0.13</v>
      </c>
      <c r="D105" s="39">
        <v>10043</v>
      </c>
      <c r="E105" s="33">
        <v>69281</v>
      </c>
      <c r="F105" s="33">
        <v>9.02</v>
      </c>
      <c r="G105" s="33">
        <v>300.8</v>
      </c>
      <c r="H105" s="26">
        <v>37449.079999999994</v>
      </c>
      <c r="I105" s="46">
        <v>2024</v>
      </c>
      <c r="J105">
        <v>2</v>
      </c>
      <c r="K105">
        <f t="shared" si="2"/>
        <v>0</v>
      </c>
      <c r="L105">
        <f t="shared" si="3"/>
        <v>1</v>
      </c>
    </row>
    <row r="106" spans="1:12" s="35" customFormat="1" x14ac:dyDescent="0.25">
      <c r="A106" s="30">
        <v>2024.3</v>
      </c>
      <c r="B106" s="32">
        <v>95843.1</v>
      </c>
      <c r="C106" s="32">
        <v>0.128</v>
      </c>
      <c r="D106" s="39">
        <v>10052</v>
      </c>
      <c r="E106" s="33">
        <v>69357</v>
      </c>
      <c r="F106" s="33">
        <v>15.8</v>
      </c>
      <c r="G106" s="33">
        <v>244.5</v>
      </c>
      <c r="H106" s="26">
        <v>34702.370000000003</v>
      </c>
      <c r="I106" s="46">
        <v>2024</v>
      </c>
      <c r="J106">
        <v>3</v>
      </c>
      <c r="K106">
        <f t="shared" si="2"/>
        <v>-1</v>
      </c>
      <c r="L106">
        <f t="shared" si="3"/>
        <v>0</v>
      </c>
    </row>
    <row r="107" spans="1:12" s="35" customFormat="1" x14ac:dyDescent="0.25">
      <c r="A107" s="30">
        <v>2024.4</v>
      </c>
      <c r="B107" s="32">
        <v>111622.3</v>
      </c>
      <c r="C107" s="32">
        <v>0.128</v>
      </c>
      <c r="D107" s="39">
        <v>10065</v>
      </c>
      <c r="E107" s="33">
        <v>69433</v>
      </c>
      <c r="F107" s="33">
        <v>10.84</v>
      </c>
      <c r="G107" s="33">
        <v>315.89999999999998</v>
      </c>
      <c r="H107" s="26">
        <v>45175.19</v>
      </c>
      <c r="I107" s="46">
        <v>2024</v>
      </c>
      <c r="J107">
        <v>4</v>
      </c>
      <c r="K107">
        <f t="shared" si="2"/>
        <v>0</v>
      </c>
      <c r="L107">
        <f t="shared" si="3"/>
        <v>-1</v>
      </c>
    </row>
    <row r="108" spans="1:12" s="35" customFormat="1" x14ac:dyDescent="0.25">
      <c r="A108" s="30">
        <v>2025.1</v>
      </c>
      <c r="B108" s="32">
        <v>115136.7</v>
      </c>
      <c r="C108" s="32">
        <v>0.129</v>
      </c>
      <c r="D108" s="39">
        <v>10120</v>
      </c>
      <c r="E108" s="33">
        <v>69509</v>
      </c>
      <c r="F108" s="33">
        <v>5.79</v>
      </c>
      <c r="G108" s="33">
        <v>313.8</v>
      </c>
      <c r="H108" s="26">
        <v>48075.810000000005</v>
      </c>
      <c r="I108" s="47">
        <v>2025</v>
      </c>
      <c r="J108">
        <v>1</v>
      </c>
      <c r="K108">
        <f t="shared" si="2"/>
        <v>1</v>
      </c>
      <c r="L108">
        <f t="shared" si="3"/>
        <v>0</v>
      </c>
    </row>
    <row r="109" spans="1:12" s="35" customFormat="1" ht="15.75" x14ac:dyDescent="0.25">
      <c r="D109" s="6"/>
      <c r="H109" s="36"/>
    </row>
    <row r="110" spans="1:12" s="35" customFormat="1" ht="15.75" x14ac:dyDescent="0.25">
      <c r="D110" s="6"/>
      <c r="H110" s="36"/>
    </row>
    <row r="111" spans="1:12" s="35" customFormat="1" ht="15.75" x14ac:dyDescent="0.25">
      <c r="H111" s="36"/>
    </row>
    <row r="112" spans="1:12" s="35" customFormat="1" ht="15.75" x14ac:dyDescent="0.25">
      <c r="H112" s="36"/>
    </row>
    <row r="113" s="35" customFormat="1" x14ac:dyDescent="0.25"/>
    <row r="114" s="31" customFormat="1" x14ac:dyDescent="0.25"/>
    <row r="115" s="31" customFormat="1" x14ac:dyDescent="0.25"/>
  </sheetData>
  <conditionalFormatting sqref="B4:C104 E4:G104">
    <cfRule type="containsBlanks" dxfId="3" priority="5">
      <formula>LEN(TRIM(B4))=0</formula>
    </cfRule>
  </conditionalFormatting>
  <conditionalFormatting sqref="A3 B3:C104 A2:C2 E2:G104">
    <cfRule type="containsBlanks" dxfId="2" priority="4">
      <formula>LEN(TRIM(A2))=0</formula>
    </cfRule>
  </conditionalFormatting>
  <conditionalFormatting sqref="A4:A108">
    <cfRule type="containsBlanks" dxfId="1" priority="3">
      <formula>LEN(TRIM(A4))=0</formula>
    </cfRule>
  </conditionalFormatting>
  <conditionalFormatting sqref="D2:D3">
    <cfRule type="containsBlanks" dxfId="0" priority="1">
      <formula>LEN(TRIM(D2))=0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2024-08-26T08:37:20Z</dcterms:created>
  <dcterms:modified xsi:type="dcterms:W3CDTF">2025-11-02T09:46:24Z</dcterms:modified>
</cp:coreProperties>
</file>